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S thesis\write up papers\field survey strategy\"/>
    </mc:Choice>
  </mc:AlternateContent>
  <bookViews>
    <workbookView xWindow="0" yWindow="0" windowWidth="20490" windowHeight="7755"/>
  </bookViews>
  <sheets>
    <sheet name="Sheet1" sheetId="1" r:id="rId1"/>
    <sheet name="Station1" sheetId="2" r:id="rId2"/>
    <sheet name="Sheet3" sheetId="3" r:id="rId3"/>
    <sheet name="Station2" sheetId="4" r:id="rId4"/>
    <sheet name="station3" sheetId="5" r:id="rId5"/>
    <sheet name="Station4" sheetId="6" r:id="rId6"/>
    <sheet name="Station5" sheetId="7" r:id="rId7"/>
    <sheet name="Station6" sheetId="8" r:id="rId8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7" l="1"/>
  <c r="B23" i="8"/>
  <c r="B22" i="8"/>
  <c r="B21" i="8"/>
  <c r="B20" i="8"/>
  <c r="C17" i="6"/>
  <c r="C16" i="6"/>
  <c r="C24" i="5"/>
  <c r="C23" i="5"/>
  <c r="C22" i="5"/>
  <c r="C21" i="5"/>
  <c r="C20" i="5"/>
  <c r="C19" i="5"/>
  <c r="C18" i="5"/>
  <c r="C17" i="5"/>
  <c r="B27" i="4"/>
  <c r="B26" i="4"/>
  <c r="B25" i="4"/>
  <c r="B24" i="4"/>
  <c r="B23" i="4"/>
  <c r="B22" i="4"/>
  <c r="C22" i="2"/>
  <c r="B21" i="4"/>
  <c r="B20" i="4"/>
  <c r="C21" i="2"/>
  <c r="C20" i="2"/>
  <c r="F15" i="8" l="1"/>
  <c r="F14" i="8"/>
  <c r="F13" i="8"/>
  <c r="F12" i="8"/>
  <c r="F11" i="8"/>
  <c r="F10" i="8"/>
  <c r="F9" i="8"/>
  <c r="F8" i="8"/>
  <c r="F7" i="8"/>
  <c r="E19" i="1"/>
  <c r="F6" i="8"/>
  <c r="E16" i="7"/>
  <c r="E15" i="7"/>
  <c r="E14" i="7"/>
  <c r="E13" i="7"/>
  <c r="E12" i="7"/>
  <c r="E11" i="7"/>
  <c r="E10" i="7"/>
  <c r="E9" i="7"/>
  <c r="E8" i="7"/>
  <c r="E7" i="7"/>
  <c r="E6" i="7"/>
  <c r="E14" i="6"/>
  <c r="E13" i="6"/>
  <c r="E12" i="6"/>
  <c r="E11" i="6"/>
  <c r="E10" i="6"/>
  <c r="E9" i="6"/>
  <c r="E8" i="6"/>
  <c r="E7" i="6"/>
  <c r="E18" i="1"/>
  <c r="E6" i="6"/>
  <c r="E15" i="5"/>
  <c r="E14" i="5"/>
  <c r="E13" i="5"/>
  <c r="E12" i="5"/>
  <c r="E11" i="5"/>
  <c r="E10" i="5"/>
  <c r="E9" i="5"/>
  <c r="E8" i="5"/>
  <c r="E7" i="5"/>
  <c r="E6" i="5"/>
  <c r="E17" i="4"/>
  <c r="E16" i="4"/>
  <c r="E60" i="1"/>
  <c r="E15" i="4"/>
  <c r="E14" i="4"/>
  <c r="E13" i="4"/>
  <c r="E12" i="4"/>
  <c r="E11" i="4"/>
  <c r="E10" i="4"/>
  <c r="E9" i="4"/>
  <c r="E8" i="4"/>
  <c r="E7" i="4"/>
  <c r="E6" i="4"/>
  <c r="E17" i="2" l="1"/>
  <c r="E16" i="2"/>
  <c r="E15" i="2"/>
  <c r="E14" i="2"/>
  <c r="E13" i="2"/>
  <c r="E12" i="2"/>
  <c r="E11" i="2"/>
  <c r="E10" i="2"/>
  <c r="E9" i="2"/>
  <c r="E8" i="2"/>
  <c r="E7" i="2"/>
  <c r="E6" i="2"/>
  <c r="E68" i="1"/>
  <c r="E67" i="1"/>
  <c r="E66" i="1"/>
  <c r="E65" i="1"/>
  <c r="E63" i="1"/>
  <c r="E62" i="1"/>
  <c r="E61" i="1"/>
  <c r="E58" i="1"/>
  <c r="E57" i="1"/>
  <c r="E56" i="1"/>
  <c r="E55" i="1"/>
  <c r="E53" i="1"/>
  <c r="E52" i="1"/>
  <c r="E51" i="1"/>
  <c r="E50" i="1"/>
  <c r="E49" i="1"/>
  <c r="E47" i="1"/>
  <c r="E46" i="1"/>
  <c r="E45" i="1"/>
  <c r="E44" i="1"/>
  <c r="E43" i="1"/>
  <c r="E41" i="1"/>
  <c r="E40" i="1"/>
  <c r="E39" i="1"/>
  <c r="E38" i="1"/>
  <c r="E37" i="1"/>
  <c r="E35" i="1"/>
  <c r="E34" i="1"/>
  <c r="E33" i="1"/>
  <c r="E32" i="1"/>
  <c r="E31" i="1"/>
  <c r="E29" i="1"/>
  <c r="E28" i="1"/>
  <c r="E27" i="1"/>
  <c r="E25" i="1"/>
  <c r="E24" i="1"/>
  <c r="E23" i="1"/>
  <c r="E22" i="1"/>
  <c r="E21" i="1"/>
  <c r="E17" i="1"/>
  <c r="E16" i="1"/>
  <c r="E14" i="1"/>
  <c r="E13" i="1"/>
  <c r="E12" i="1"/>
  <c r="E11" i="1"/>
  <c r="E10" i="1"/>
  <c r="E64" i="1"/>
  <c r="E59" i="1"/>
  <c r="E54" i="1"/>
  <c r="E48" i="1"/>
  <c r="E42" i="1"/>
  <c r="E36" i="1" l="1"/>
  <c r="E30" i="1"/>
  <c r="E26" i="1"/>
  <c r="E20" i="1"/>
  <c r="E15" i="1"/>
  <c r="E9" i="1"/>
  <c r="E8" i="1" l="1"/>
  <c r="E7" i="1"/>
  <c r="E6" i="1"/>
  <c r="E5" i="1"/>
</calcChain>
</file>

<file path=xl/sharedStrings.xml><?xml version="1.0" encoding="utf-8"?>
<sst xmlns="http://schemas.openxmlformats.org/spreadsheetml/2006/main" count="474" uniqueCount="75">
  <si>
    <t>Station_ID</t>
  </si>
  <si>
    <t>Concentration</t>
  </si>
  <si>
    <t>grain/m3</t>
  </si>
  <si>
    <t>pollen</t>
  </si>
  <si>
    <t>spores</t>
  </si>
  <si>
    <t>meteorological variables</t>
  </si>
  <si>
    <t>Date</t>
  </si>
  <si>
    <t>GHI</t>
  </si>
  <si>
    <t>DNI</t>
  </si>
  <si>
    <t>DHI</t>
  </si>
  <si>
    <r>
      <t>T</t>
    </r>
    <r>
      <rPr>
        <vertAlign val="subscript"/>
        <sz val="10"/>
        <rFont val="Arial"/>
        <family val="2"/>
      </rPr>
      <t>amb</t>
    </r>
  </si>
  <si>
    <t>RH</t>
  </si>
  <si>
    <t>WS</t>
  </si>
  <si>
    <r>
      <t>WS</t>
    </r>
    <r>
      <rPr>
        <vertAlign val="subscript"/>
        <sz val="10"/>
        <rFont val="Arial"/>
        <family val="2"/>
      </rPr>
      <t>gust</t>
    </r>
  </si>
  <si>
    <t>WD</t>
  </si>
  <si>
    <r>
      <t>WD</t>
    </r>
    <r>
      <rPr>
        <vertAlign val="subscript"/>
        <sz val="10"/>
        <rFont val="Arial"/>
        <family val="2"/>
      </rPr>
      <t>StDev</t>
    </r>
  </si>
  <si>
    <t>BP</t>
  </si>
  <si>
    <r>
      <t>DNI</t>
    </r>
    <r>
      <rPr>
        <vertAlign val="subscript"/>
        <sz val="10"/>
        <rFont val="Arial"/>
        <family val="2"/>
      </rPr>
      <t>dev</t>
    </r>
  </si>
  <si>
    <t>W/m²</t>
  </si>
  <si>
    <t>°C</t>
  </si>
  <si>
    <t>%</t>
  </si>
  <si>
    <t>m/s</t>
  </si>
  <si>
    <t>°N</t>
  </si>
  <si>
    <t>hPa</t>
  </si>
  <si>
    <t>average</t>
  </si>
  <si>
    <t>max</t>
  </si>
  <si>
    <t>unit vector mean</t>
  </si>
  <si>
    <t>Yamartino</t>
  </si>
  <si>
    <t>10:00-1:00</t>
  </si>
  <si>
    <t>11:00-15:45</t>
  </si>
  <si>
    <t>1:00-4:00</t>
  </si>
  <si>
    <t>09:30-12:30</t>
  </si>
  <si>
    <t>13:00-16:00</t>
  </si>
  <si>
    <t>9:45-12:30</t>
  </si>
  <si>
    <t>15:00-18:00</t>
  </si>
  <si>
    <t>11:00-15:30</t>
  </si>
  <si>
    <t>9:30-14:45</t>
  </si>
  <si>
    <t>09:30-16:30</t>
  </si>
  <si>
    <t>10:00-15:00</t>
  </si>
  <si>
    <t>09:30-15:20</t>
  </si>
  <si>
    <t>15:30-18:00</t>
  </si>
  <si>
    <t>10:00-13:30</t>
  </si>
  <si>
    <t>13:30-17:00</t>
  </si>
  <si>
    <t>09:30-14:30</t>
  </si>
  <si>
    <t>14:30-18:00</t>
  </si>
  <si>
    <t>09:45-10:52</t>
  </si>
  <si>
    <t>14:30-17:30</t>
  </si>
  <si>
    <t>10:00-15:45</t>
  </si>
  <si>
    <t>16:00-18:00</t>
  </si>
  <si>
    <t>Latitude</t>
  </si>
  <si>
    <t>Longitude</t>
  </si>
  <si>
    <t xml:space="preserve"> 33.645964°</t>
  </si>
  <si>
    <t xml:space="preserve"> 72.980854°</t>
  </si>
  <si>
    <t xml:space="preserve"> 33.638288°</t>
  </si>
  <si>
    <t xml:space="preserve"> 72.989778°</t>
  </si>
  <si>
    <t xml:space="preserve"> 33.643592°</t>
  </si>
  <si>
    <t xml:space="preserve"> 72.997788°</t>
  </si>
  <si>
    <t xml:space="preserve"> 33.647927°</t>
  </si>
  <si>
    <t xml:space="preserve"> 72.990664°</t>
  </si>
  <si>
    <t xml:space="preserve"> 33.645104°</t>
  </si>
  <si>
    <t xml:space="preserve"> 72.988082°</t>
  </si>
  <si>
    <t xml:space="preserve"> 33.644953°</t>
  </si>
  <si>
    <t xml:space="preserve"> 72.988044°</t>
  </si>
  <si>
    <t>Monitoring time</t>
  </si>
  <si>
    <t xml:space="preserve">Station 1 </t>
  </si>
  <si>
    <r>
      <t xml:space="preserve">10min </t>
    </r>
    <r>
      <rPr>
        <b/>
        <sz val="10"/>
        <rFont val="Arial"/>
        <family val="2"/>
      </rPr>
      <t>Average</t>
    </r>
  </si>
  <si>
    <t>Acc.</t>
  </si>
  <si>
    <t>Unit</t>
  </si>
  <si>
    <t>STATION2</t>
  </si>
  <si>
    <t>09:45-12:30</t>
  </si>
  <si>
    <t>STATION 3</t>
  </si>
  <si>
    <t>STATION 4</t>
  </si>
  <si>
    <t>STATION 5</t>
  </si>
  <si>
    <t>STATION 6</t>
  </si>
  <si>
    <t>fungus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</si>
</sst>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vertAlign val="subscript"/>
      <sz val="10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BB9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4" borderId="0" xfId="0" applyFill="1"/>
    <xf numFmtId="0" fontId="1" fillId="4" borderId="1" xfId="0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/>
    <xf numFmtId="0" fontId="0" fillId="2" borderId="0" xfId="0" applyFill="1"/>
    <xf numFmtId="20" fontId="0" fillId="0" borderId="0" xfId="0" applyNumberFormat="1"/>
    <xf numFmtId="0" fontId="0" fillId="5" borderId="0" xfId="0" applyFill="1"/>
    <xf numFmtId="14" fontId="0" fillId="6" borderId="0" xfId="0" applyNumberFormat="1" applyFill="1"/>
    <xf numFmtId="14" fontId="0" fillId="0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0" borderId="0" xfId="0" applyFont="1"/>
    <xf numFmtId="0" fontId="7" fillId="9" borderId="6" xfId="0" applyFont="1" applyFill="1" applyBorder="1" applyAlignment="1" applyProtection="1">
      <alignment horizontal="left" vertical="center"/>
      <protection locked="0"/>
    </xf>
    <xf numFmtId="0" fontId="7" fillId="9" borderId="7" xfId="0" applyFont="1" applyFill="1" applyBorder="1" applyAlignment="1" applyProtection="1">
      <alignment horizontal="center" vertical="center"/>
      <protection locked="0"/>
    </xf>
    <xf numFmtId="0" fontId="1" fillId="9" borderId="6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7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3" fillId="9" borderId="8" xfId="0" applyFont="1" applyFill="1" applyBorder="1" applyAlignment="1" applyProtection="1">
      <alignment horizontal="left" vertical="center"/>
      <protection locked="0"/>
    </xf>
    <xf numFmtId="0" fontId="3" fillId="9" borderId="9" xfId="0" applyFont="1" applyFill="1" applyBorder="1" applyAlignment="1" applyProtection="1">
      <alignment horizontal="center" vertical="center"/>
      <protection locked="0"/>
    </xf>
    <xf numFmtId="0" fontId="3" fillId="9" borderId="8" xfId="0" applyFont="1" applyFill="1" applyBorder="1" applyAlignment="1" applyProtection="1">
      <alignment horizontal="center" vertical="center"/>
      <protection locked="0"/>
    </xf>
    <xf numFmtId="0" fontId="3" fillId="9" borderId="4" xfId="0" applyFont="1" applyFill="1" applyBorder="1" applyAlignment="1" applyProtection="1">
      <alignment horizontal="center" vertical="center"/>
      <protection locked="0"/>
    </xf>
    <xf numFmtId="0" fontId="3" fillId="9" borderId="5" xfId="0" applyFont="1" applyFill="1" applyBorder="1" applyAlignment="1" applyProtection="1">
      <alignment horizontal="center" vertical="center"/>
      <protection locked="0"/>
    </xf>
    <xf numFmtId="0" fontId="3" fillId="8" borderId="9" xfId="0" applyFont="1" applyFill="1" applyBorder="1" applyAlignment="1" applyProtection="1">
      <alignment horizontal="center" vertical="center"/>
      <protection locked="0"/>
    </xf>
    <xf numFmtId="0" fontId="7" fillId="9" borderId="8" xfId="0" applyFont="1" applyFill="1" applyBorder="1" applyAlignment="1" applyProtection="1">
      <alignment horizontal="left" vertical="center"/>
      <protection locked="0"/>
    </xf>
    <xf numFmtId="20" fontId="7" fillId="9" borderId="9" xfId="0" applyNumberFormat="1" applyFont="1" applyFill="1" applyBorder="1" applyAlignment="1" applyProtection="1">
      <alignment horizontal="center" vertical="center"/>
      <protection locked="0"/>
    </xf>
    <xf numFmtId="1" fontId="7" fillId="9" borderId="10" xfId="0" applyNumberFormat="1" applyFont="1" applyFill="1" applyBorder="1" applyAlignment="1" applyProtection="1">
      <alignment horizontal="center" vertical="center"/>
      <protection hidden="1"/>
    </xf>
    <xf numFmtId="164" fontId="7" fillId="9" borderId="10" xfId="0" applyNumberFormat="1" applyFont="1" applyFill="1" applyBorder="1" applyAlignment="1" applyProtection="1">
      <alignment horizontal="center" vertical="center"/>
      <protection hidden="1"/>
    </xf>
    <xf numFmtId="164" fontId="7" fillId="8" borderId="10" xfId="0" applyNumberFormat="1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3" fillId="4" borderId="2" xfId="0" applyFont="1" applyFill="1" applyBorder="1" applyAlignment="1" applyProtection="1">
      <alignment horizontal="center" wrapText="1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  <xf numFmtId="0" fontId="5" fillId="0" borderId="0" xfId="0" applyFont="1" applyFill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/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/>
    <xf numFmtId="0" fontId="3" fillId="10" borderId="3" xfId="0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0" fillId="3" borderId="5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B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Station1!$F$2:$F$5</c:f>
              <c:strCache>
                <c:ptCount val="4"/>
                <c:pt idx="0">
                  <c:v>Concentration</c:v>
                </c:pt>
                <c:pt idx="2">
                  <c:v>pollen</c:v>
                </c:pt>
                <c:pt idx="3">
                  <c:v>grain/m3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Station1!$E$6:$E$17</c:f>
              <c:numCache>
                <c:formatCode>m/d/yyyy</c:formatCode>
                <c:ptCount val="12"/>
                <c:pt idx="0">
                  <c:v>42464</c:v>
                </c:pt>
                <c:pt idx="1">
                  <c:v>42465</c:v>
                </c:pt>
                <c:pt idx="2">
                  <c:v>42466</c:v>
                </c:pt>
                <c:pt idx="3">
                  <c:v>42467</c:v>
                </c:pt>
                <c:pt idx="4">
                  <c:v>42468</c:v>
                </c:pt>
                <c:pt idx="5">
                  <c:v>42472</c:v>
                </c:pt>
                <c:pt idx="6">
                  <c:v>42473</c:v>
                </c:pt>
                <c:pt idx="7">
                  <c:v>42474</c:v>
                </c:pt>
                <c:pt idx="8">
                  <c:v>42475</c:v>
                </c:pt>
                <c:pt idx="9">
                  <c:v>42478</c:v>
                </c:pt>
                <c:pt idx="10">
                  <c:v>42479</c:v>
                </c:pt>
                <c:pt idx="11">
                  <c:v>42480</c:v>
                </c:pt>
              </c:numCache>
            </c:numRef>
          </c:cat>
          <c:val>
            <c:numRef>
              <c:f>Station1!$F$6:$F$17</c:f>
              <c:numCache>
                <c:formatCode>General</c:formatCode>
                <c:ptCount val="12"/>
                <c:pt idx="0">
                  <c:v>19.22</c:v>
                </c:pt>
                <c:pt idx="1">
                  <c:v>154.34</c:v>
                </c:pt>
                <c:pt idx="2">
                  <c:v>79.89</c:v>
                </c:pt>
                <c:pt idx="3">
                  <c:v>23.91</c:v>
                </c:pt>
                <c:pt idx="4">
                  <c:v>339.67</c:v>
                </c:pt>
                <c:pt idx="5">
                  <c:v>65.790000000000006</c:v>
                </c:pt>
                <c:pt idx="6">
                  <c:v>76.540000000000006</c:v>
                </c:pt>
                <c:pt idx="7">
                  <c:v>34.520000000000003</c:v>
                </c:pt>
                <c:pt idx="8">
                  <c:v>32.57</c:v>
                </c:pt>
                <c:pt idx="9">
                  <c:v>81.099999999999994</c:v>
                </c:pt>
                <c:pt idx="10">
                  <c:v>12</c:v>
                </c:pt>
                <c:pt idx="11">
                  <c:v>52.44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Station1!$G$2:$G$5</c:f>
              <c:strCache>
                <c:ptCount val="4"/>
                <c:pt idx="0">
                  <c:v>Concentration</c:v>
                </c:pt>
                <c:pt idx="2">
                  <c:v>spores</c:v>
                </c:pt>
                <c:pt idx="3">
                  <c:v>grain/m3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Station1!$E$6:$E$17</c:f>
              <c:numCache>
                <c:formatCode>m/d/yyyy</c:formatCode>
                <c:ptCount val="12"/>
                <c:pt idx="0">
                  <c:v>42464</c:v>
                </c:pt>
                <c:pt idx="1">
                  <c:v>42465</c:v>
                </c:pt>
                <c:pt idx="2">
                  <c:v>42466</c:v>
                </c:pt>
                <c:pt idx="3">
                  <c:v>42467</c:v>
                </c:pt>
                <c:pt idx="4">
                  <c:v>42468</c:v>
                </c:pt>
                <c:pt idx="5">
                  <c:v>42472</c:v>
                </c:pt>
                <c:pt idx="6">
                  <c:v>42473</c:v>
                </c:pt>
                <c:pt idx="7">
                  <c:v>42474</c:v>
                </c:pt>
                <c:pt idx="8">
                  <c:v>42475</c:v>
                </c:pt>
                <c:pt idx="9">
                  <c:v>42478</c:v>
                </c:pt>
                <c:pt idx="10">
                  <c:v>42479</c:v>
                </c:pt>
                <c:pt idx="11">
                  <c:v>42480</c:v>
                </c:pt>
              </c:numCache>
            </c:numRef>
          </c:cat>
          <c:val>
            <c:numRef>
              <c:f>Station1!$G$6:$G$17</c:f>
              <c:numCache>
                <c:formatCode>General</c:formatCode>
                <c:ptCount val="12"/>
                <c:pt idx="0">
                  <c:v>215.96</c:v>
                </c:pt>
                <c:pt idx="1">
                  <c:v>40.76</c:v>
                </c:pt>
                <c:pt idx="2">
                  <c:v>78.260000000000005</c:v>
                </c:pt>
                <c:pt idx="3">
                  <c:v>825</c:v>
                </c:pt>
                <c:pt idx="4">
                  <c:v>242.93</c:v>
                </c:pt>
                <c:pt idx="5">
                  <c:v>193.48</c:v>
                </c:pt>
                <c:pt idx="6">
                  <c:v>212.05</c:v>
                </c:pt>
                <c:pt idx="7">
                  <c:v>174.59</c:v>
                </c:pt>
                <c:pt idx="8">
                  <c:v>101.62</c:v>
                </c:pt>
                <c:pt idx="9">
                  <c:v>148.19999999999999</c:v>
                </c:pt>
                <c:pt idx="10">
                  <c:v>107</c:v>
                </c:pt>
                <c:pt idx="11">
                  <c:v>128.66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131248"/>
        <c:axId val="250127328"/>
      </c:lineChart>
      <c:dateAx>
        <c:axId val="250131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27328"/>
        <c:crosses val="autoZero"/>
        <c:auto val="1"/>
        <c:lblOffset val="100"/>
        <c:baseTimeUnit val="days"/>
      </c:dateAx>
      <c:valAx>
        <c:axId val="2501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3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352425</xdr:colOff>
      <xdr:row>23</xdr:row>
      <xdr:rowOff>176212</xdr:rowOff>
    </xdr:from>
    <xdr:to>
      <xdr:col>26</xdr:col>
      <xdr:colOff>266700</xdr:colOff>
      <xdr:row>38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tabSelected="1" zoomScaleNormal="100" workbookViewId="0">
      <selection activeCell="S5" sqref="S5"/>
    </sheetView>
  </sheetViews>
  <sheetFormatPr defaultRowHeight="15" x14ac:dyDescent="0.25"/>
  <cols>
    <col min="1" max="2" width="15.140625" customWidth="1"/>
    <col min="3" max="3" width="9.85546875" customWidth="1"/>
    <col min="4" max="4" width="16" customWidth="1"/>
    <col min="5" max="5" width="10" customWidth="1"/>
    <col min="6" max="6" width="12.140625" customWidth="1"/>
    <col min="7" max="7" width="14" customWidth="1"/>
  </cols>
  <sheetData>
    <row r="1" spans="1:21" x14ac:dyDescent="0.25">
      <c r="A1" s="15" t="s">
        <v>49</v>
      </c>
      <c r="B1" s="15" t="s">
        <v>50</v>
      </c>
      <c r="C1" s="15" t="s">
        <v>0</v>
      </c>
      <c r="D1" s="16" t="s">
        <v>63</v>
      </c>
      <c r="E1" s="15" t="s">
        <v>6</v>
      </c>
      <c r="F1" s="50" t="s">
        <v>1</v>
      </c>
      <c r="G1" s="50"/>
      <c r="H1" s="51" t="s">
        <v>5</v>
      </c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21" ht="15.75" x14ac:dyDescent="0.3">
      <c r="A2" s="12"/>
      <c r="B2" s="12"/>
      <c r="C2" s="1"/>
      <c r="D2" s="1"/>
      <c r="E2" s="1"/>
      <c r="F2" s="52" t="s">
        <v>2</v>
      </c>
      <c r="G2" s="53"/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21" x14ac:dyDescent="0.25">
      <c r="A3" s="12"/>
      <c r="B3" s="12"/>
      <c r="C3" s="1"/>
      <c r="D3" s="1"/>
      <c r="E3" s="1"/>
      <c r="F3" s="17" t="s">
        <v>3</v>
      </c>
      <c r="G3" s="17" t="s">
        <v>4</v>
      </c>
      <c r="H3" s="4" t="s">
        <v>18</v>
      </c>
      <c r="I3" s="4" t="s">
        <v>18</v>
      </c>
      <c r="J3" s="5" t="s">
        <v>18</v>
      </c>
      <c r="K3" s="4" t="s">
        <v>19</v>
      </c>
      <c r="L3" s="4" t="s">
        <v>20</v>
      </c>
      <c r="M3" s="6" t="s">
        <v>21</v>
      </c>
      <c r="N3" s="6" t="s">
        <v>21</v>
      </c>
      <c r="O3" s="6" t="s">
        <v>22</v>
      </c>
      <c r="P3" s="6" t="s">
        <v>22</v>
      </c>
      <c r="Q3" s="6" t="s">
        <v>23</v>
      </c>
      <c r="R3" s="7" t="s">
        <v>18</v>
      </c>
      <c r="S3" s="49" t="s">
        <v>3</v>
      </c>
      <c r="T3" s="7" t="s">
        <v>74</v>
      </c>
    </row>
    <row r="4" spans="1:21" x14ac:dyDescent="0.25">
      <c r="A4" s="12"/>
      <c r="B4" s="12"/>
      <c r="C4" s="1"/>
      <c r="D4" s="1"/>
      <c r="E4" s="1"/>
      <c r="F4" s="1"/>
      <c r="G4" s="1"/>
      <c r="H4" s="8" t="s">
        <v>24</v>
      </c>
      <c r="I4" s="8" t="s">
        <v>24</v>
      </c>
      <c r="J4" s="8" t="s">
        <v>24</v>
      </c>
      <c r="K4" s="8" t="s">
        <v>24</v>
      </c>
      <c r="L4" s="8" t="s">
        <v>24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24</v>
      </c>
      <c r="R4" s="8" t="s">
        <v>24</v>
      </c>
    </row>
    <row r="5" spans="1:21" x14ac:dyDescent="0.25">
      <c r="A5">
        <v>33.645963999999999</v>
      </c>
      <c r="B5">
        <v>72.980853999999994</v>
      </c>
      <c r="C5">
        <v>1</v>
      </c>
      <c r="D5" s="11" t="s">
        <v>29</v>
      </c>
      <c r="E5" s="13">
        <f>DATE(2016,4,4)</f>
        <v>42464</v>
      </c>
      <c r="F5">
        <v>19.22</v>
      </c>
      <c r="G5">
        <v>215.96</v>
      </c>
      <c r="H5">
        <v>814</v>
      </c>
      <c r="I5">
        <v>772</v>
      </c>
      <c r="J5">
        <v>187</v>
      </c>
      <c r="K5">
        <v>25</v>
      </c>
      <c r="L5">
        <v>50</v>
      </c>
      <c r="M5">
        <v>4.7</v>
      </c>
      <c r="N5">
        <v>7.3</v>
      </c>
      <c r="O5">
        <v>270</v>
      </c>
      <c r="P5">
        <v>18</v>
      </c>
      <c r="Q5">
        <v>945</v>
      </c>
      <c r="R5">
        <v>-17.2</v>
      </c>
      <c r="S5">
        <v>59</v>
      </c>
      <c r="T5">
        <v>663</v>
      </c>
      <c r="U5">
        <v>1.84</v>
      </c>
    </row>
    <row r="6" spans="1:21" x14ac:dyDescent="0.25">
      <c r="A6">
        <v>33.638288000000003</v>
      </c>
      <c r="B6">
        <v>72.989778000000001</v>
      </c>
      <c r="C6">
        <v>2</v>
      </c>
      <c r="D6" s="11" t="s">
        <v>29</v>
      </c>
      <c r="E6" s="9">
        <f t="shared" ref="E6:E8" si="0">DATE(2016,4,4)</f>
        <v>42464</v>
      </c>
      <c r="F6">
        <v>293.16000000000003</v>
      </c>
      <c r="G6">
        <v>181.85</v>
      </c>
      <c r="H6">
        <v>814</v>
      </c>
      <c r="I6">
        <v>772</v>
      </c>
      <c r="J6">
        <v>187</v>
      </c>
      <c r="K6">
        <v>25</v>
      </c>
      <c r="L6">
        <v>50</v>
      </c>
      <c r="M6">
        <v>4.7</v>
      </c>
      <c r="N6">
        <v>7.3</v>
      </c>
      <c r="O6">
        <v>270</v>
      </c>
      <c r="P6">
        <v>18</v>
      </c>
      <c r="Q6">
        <v>945</v>
      </c>
      <c r="R6">
        <v>-17.2</v>
      </c>
      <c r="S6">
        <v>900</v>
      </c>
      <c r="T6">
        <v>589</v>
      </c>
      <c r="U6">
        <v>1.84</v>
      </c>
    </row>
    <row r="7" spans="1:21" x14ac:dyDescent="0.25">
      <c r="A7">
        <v>33.643591999999998</v>
      </c>
      <c r="B7">
        <v>72.997788</v>
      </c>
      <c r="C7">
        <v>3</v>
      </c>
      <c r="D7" s="11" t="s">
        <v>29</v>
      </c>
      <c r="E7" s="9">
        <f t="shared" si="0"/>
        <v>42464</v>
      </c>
      <c r="F7">
        <v>7.81</v>
      </c>
      <c r="G7">
        <v>51.79</v>
      </c>
      <c r="H7">
        <v>814</v>
      </c>
      <c r="I7">
        <v>772</v>
      </c>
      <c r="J7">
        <v>187</v>
      </c>
      <c r="K7">
        <v>25</v>
      </c>
      <c r="L7">
        <v>50</v>
      </c>
      <c r="M7">
        <v>4.7</v>
      </c>
      <c r="N7">
        <v>7.3</v>
      </c>
      <c r="O7">
        <v>270</v>
      </c>
      <c r="P7">
        <v>18</v>
      </c>
      <c r="Q7">
        <v>945</v>
      </c>
      <c r="R7">
        <v>-17.2</v>
      </c>
      <c r="S7">
        <v>24</v>
      </c>
      <c r="T7">
        <v>159</v>
      </c>
      <c r="U7">
        <v>1.84</v>
      </c>
    </row>
    <row r="8" spans="1:21" x14ac:dyDescent="0.25">
      <c r="A8">
        <v>33.645104000000003</v>
      </c>
      <c r="B8">
        <v>72.988082000000006</v>
      </c>
      <c r="C8">
        <v>5</v>
      </c>
      <c r="D8" s="11" t="s">
        <v>29</v>
      </c>
      <c r="E8" s="9">
        <f t="shared" si="0"/>
        <v>42464</v>
      </c>
      <c r="F8">
        <v>5.53</v>
      </c>
      <c r="G8">
        <v>121.17</v>
      </c>
      <c r="H8">
        <v>814</v>
      </c>
      <c r="I8">
        <v>772</v>
      </c>
      <c r="J8">
        <v>187</v>
      </c>
      <c r="K8">
        <v>25</v>
      </c>
      <c r="L8">
        <v>50</v>
      </c>
      <c r="M8">
        <v>4.7</v>
      </c>
      <c r="N8">
        <v>7.3</v>
      </c>
      <c r="O8">
        <v>270</v>
      </c>
      <c r="P8">
        <v>18</v>
      </c>
      <c r="Q8">
        <v>945</v>
      </c>
      <c r="R8">
        <v>-17.2</v>
      </c>
      <c r="S8">
        <v>17</v>
      </c>
      <c r="T8">
        <v>372</v>
      </c>
      <c r="U8">
        <v>1.84</v>
      </c>
    </row>
    <row r="9" spans="1:21" x14ac:dyDescent="0.25">
      <c r="A9">
        <v>33.645963999999999</v>
      </c>
      <c r="B9">
        <v>72.980853999999994</v>
      </c>
      <c r="C9">
        <v>1</v>
      </c>
      <c r="D9" s="11" t="s">
        <v>28</v>
      </c>
      <c r="E9" s="13">
        <f>DATE(2016,4,5)</f>
        <v>42465</v>
      </c>
      <c r="F9">
        <v>154.34</v>
      </c>
      <c r="G9">
        <v>40.76</v>
      </c>
      <c r="H9">
        <v>726</v>
      </c>
      <c r="I9">
        <v>637</v>
      </c>
      <c r="J9">
        <v>223</v>
      </c>
      <c r="K9">
        <v>28.1</v>
      </c>
      <c r="L9">
        <v>33</v>
      </c>
      <c r="M9">
        <v>1.7</v>
      </c>
      <c r="N9">
        <v>3.5</v>
      </c>
      <c r="O9">
        <v>124</v>
      </c>
      <c r="P9">
        <v>28.8</v>
      </c>
      <c r="Q9">
        <v>946</v>
      </c>
      <c r="R9">
        <v>-6.8</v>
      </c>
      <c r="S9">
        <v>284</v>
      </c>
      <c r="T9">
        <v>75</v>
      </c>
      <c r="U9">
        <v>1.84</v>
      </c>
    </row>
    <row r="10" spans="1:21" x14ac:dyDescent="0.25">
      <c r="A10">
        <v>33.638288000000003</v>
      </c>
      <c r="B10">
        <v>72.989778000000001</v>
      </c>
      <c r="C10">
        <v>2</v>
      </c>
      <c r="D10" s="11" t="s">
        <v>28</v>
      </c>
      <c r="E10" s="14">
        <f t="shared" ref="E10:E14" si="1">DATE(2016,4,5)</f>
        <v>42465</v>
      </c>
      <c r="F10">
        <v>76.08</v>
      </c>
      <c r="G10">
        <v>123.36</v>
      </c>
      <c r="H10">
        <v>726</v>
      </c>
      <c r="I10">
        <v>637</v>
      </c>
      <c r="J10">
        <v>223</v>
      </c>
      <c r="K10">
        <v>28.1</v>
      </c>
      <c r="L10">
        <v>33</v>
      </c>
      <c r="M10">
        <v>1.7</v>
      </c>
      <c r="N10">
        <v>3.5</v>
      </c>
      <c r="O10">
        <v>124</v>
      </c>
      <c r="P10">
        <v>28.8</v>
      </c>
      <c r="Q10">
        <v>946</v>
      </c>
      <c r="R10">
        <v>-6.8</v>
      </c>
      <c r="S10">
        <v>140</v>
      </c>
      <c r="T10">
        <v>227</v>
      </c>
      <c r="U10">
        <v>1.84</v>
      </c>
    </row>
    <row r="11" spans="1:21" x14ac:dyDescent="0.25">
      <c r="A11">
        <v>33.643591999999998</v>
      </c>
      <c r="B11">
        <v>72.997788</v>
      </c>
      <c r="C11">
        <v>3</v>
      </c>
      <c r="D11" s="11" t="s">
        <v>28</v>
      </c>
      <c r="E11" s="14">
        <f t="shared" si="1"/>
        <v>42465</v>
      </c>
      <c r="F11">
        <v>12.5</v>
      </c>
      <c r="G11">
        <v>50.54</v>
      </c>
      <c r="H11">
        <v>726</v>
      </c>
      <c r="I11">
        <v>637</v>
      </c>
      <c r="J11">
        <v>223</v>
      </c>
      <c r="K11">
        <v>28.1</v>
      </c>
      <c r="L11">
        <v>33</v>
      </c>
      <c r="M11">
        <v>1.7</v>
      </c>
      <c r="N11">
        <v>3.5</v>
      </c>
      <c r="O11">
        <v>124</v>
      </c>
      <c r="P11">
        <v>28.8</v>
      </c>
      <c r="Q11">
        <v>946</v>
      </c>
      <c r="R11">
        <v>-6.8</v>
      </c>
      <c r="S11">
        <v>23</v>
      </c>
      <c r="T11">
        <v>93</v>
      </c>
      <c r="U11">
        <v>1.84</v>
      </c>
    </row>
    <row r="12" spans="1:21" x14ac:dyDescent="0.25">
      <c r="A12">
        <v>33.647927000000003</v>
      </c>
      <c r="B12">
        <v>72.990663999999995</v>
      </c>
      <c r="C12">
        <v>4</v>
      </c>
      <c r="D12" s="11" t="s">
        <v>28</v>
      </c>
      <c r="E12" s="14">
        <f t="shared" si="1"/>
        <v>42465</v>
      </c>
      <c r="F12">
        <v>45.65</v>
      </c>
      <c r="G12">
        <v>929.34</v>
      </c>
      <c r="H12">
        <v>726</v>
      </c>
      <c r="I12">
        <v>637</v>
      </c>
      <c r="J12">
        <v>223</v>
      </c>
      <c r="K12">
        <v>28.1</v>
      </c>
      <c r="L12">
        <v>33</v>
      </c>
      <c r="M12">
        <v>1.7</v>
      </c>
      <c r="N12">
        <v>3.5</v>
      </c>
      <c r="O12">
        <v>124</v>
      </c>
      <c r="P12">
        <v>28.8</v>
      </c>
      <c r="Q12">
        <v>946</v>
      </c>
      <c r="R12">
        <v>-6.8</v>
      </c>
      <c r="S12">
        <v>84</v>
      </c>
      <c r="T12">
        <v>1710</v>
      </c>
      <c r="U12">
        <v>1.84</v>
      </c>
    </row>
    <row r="13" spans="1:21" x14ac:dyDescent="0.25">
      <c r="A13">
        <v>33.645104000000003</v>
      </c>
      <c r="B13">
        <v>72.988082000000006</v>
      </c>
      <c r="C13">
        <v>5</v>
      </c>
      <c r="D13" s="11" t="s">
        <v>28</v>
      </c>
      <c r="E13" s="14">
        <f t="shared" si="1"/>
        <v>42465</v>
      </c>
      <c r="F13">
        <v>4.34</v>
      </c>
      <c r="G13">
        <v>19.559999999999999</v>
      </c>
      <c r="H13">
        <v>726</v>
      </c>
      <c r="I13">
        <v>637</v>
      </c>
      <c r="J13">
        <v>223</v>
      </c>
      <c r="K13">
        <v>28.1</v>
      </c>
      <c r="L13">
        <v>33</v>
      </c>
      <c r="M13">
        <v>1.7</v>
      </c>
      <c r="N13">
        <v>3.5</v>
      </c>
      <c r="O13">
        <v>124</v>
      </c>
      <c r="P13">
        <v>28.8</v>
      </c>
      <c r="Q13">
        <v>946</v>
      </c>
      <c r="R13">
        <v>-6.8</v>
      </c>
      <c r="S13">
        <v>8</v>
      </c>
      <c r="T13">
        <v>36</v>
      </c>
      <c r="U13">
        <v>1.84</v>
      </c>
    </row>
    <row r="14" spans="1:21" x14ac:dyDescent="0.25">
      <c r="A14">
        <v>33.644953000000001</v>
      </c>
      <c r="B14">
        <v>72.988044000000002</v>
      </c>
      <c r="C14">
        <v>6</v>
      </c>
      <c r="D14" s="11" t="s">
        <v>30</v>
      </c>
      <c r="E14" s="14">
        <f t="shared" si="1"/>
        <v>42465</v>
      </c>
      <c r="F14">
        <v>20.65</v>
      </c>
      <c r="G14">
        <v>265.76</v>
      </c>
      <c r="H14">
        <v>726</v>
      </c>
      <c r="I14">
        <v>637</v>
      </c>
      <c r="J14">
        <v>223</v>
      </c>
      <c r="K14">
        <v>28.1</v>
      </c>
      <c r="L14">
        <v>33</v>
      </c>
      <c r="M14">
        <v>1.7</v>
      </c>
      <c r="N14">
        <v>3.5</v>
      </c>
      <c r="O14">
        <v>124</v>
      </c>
      <c r="P14">
        <v>28.8</v>
      </c>
      <c r="Q14">
        <v>946</v>
      </c>
      <c r="R14">
        <v>-6.8</v>
      </c>
      <c r="S14">
        <v>38</v>
      </c>
      <c r="T14">
        <v>489</v>
      </c>
      <c r="U14">
        <v>1.84</v>
      </c>
    </row>
    <row r="15" spans="1:21" x14ac:dyDescent="0.25">
      <c r="A15">
        <v>33.645963999999999</v>
      </c>
      <c r="B15">
        <v>72.980853999999994</v>
      </c>
      <c r="C15">
        <v>1</v>
      </c>
      <c r="D15" s="11" t="s">
        <v>31</v>
      </c>
      <c r="E15" s="13">
        <f>DATE(2016,4,6)</f>
        <v>42466</v>
      </c>
      <c r="F15">
        <v>79.89</v>
      </c>
      <c r="G15">
        <v>78.260000000000005</v>
      </c>
      <c r="H15">
        <v>325</v>
      </c>
      <c r="I15">
        <v>47</v>
      </c>
      <c r="J15">
        <v>297</v>
      </c>
      <c r="K15">
        <v>21.9</v>
      </c>
      <c r="L15">
        <v>49</v>
      </c>
      <c r="M15">
        <v>3.6</v>
      </c>
      <c r="N15">
        <v>5.7</v>
      </c>
      <c r="O15">
        <v>245</v>
      </c>
      <c r="P15">
        <v>17.3</v>
      </c>
      <c r="Q15">
        <v>946</v>
      </c>
      <c r="R15">
        <v>-1.2</v>
      </c>
      <c r="S15">
        <v>147</v>
      </c>
      <c r="T15">
        <v>144</v>
      </c>
      <c r="U15">
        <v>1.84</v>
      </c>
    </row>
    <row r="16" spans="1:21" x14ac:dyDescent="0.25">
      <c r="A16">
        <v>33.638288000000003</v>
      </c>
      <c r="B16">
        <v>72.989778000000001</v>
      </c>
      <c r="C16">
        <v>2</v>
      </c>
      <c r="D16" s="11" t="s">
        <v>31</v>
      </c>
      <c r="E16" s="9">
        <f t="shared" ref="E16:E19" si="2">DATE(2016,4,6)</f>
        <v>42466</v>
      </c>
      <c r="F16">
        <v>122</v>
      </c>
      <c r="G16">
        <v>26.08</v>
      </c>
      <c r="H16">
        <v>325</v>
      </c>
      <c r="I16">
        <v>47</v>
      </c>
      <c r="J16">
        <v>297</v>
      </c>
      <c r="K16">
        <v>21.9</v>
      </c>
      <c r="L16">
        <v>49</v>
      </c>
      <c r="M16">
        <v>3.6</v>
      </c>
      <c r="N16">
        <v>5.7</v>
      </c>
      <c r="O16">
        <v>245</v>
      </c>
      <c r="P16">
        <v>17.3</v>
      </c>
      <c r="Q16">
        <v>946</v>
      </c>
      <c r="R16">
        <v>-1.2</v>
      </c>
      <c r="S16">
        <v>226</v>
      </c>
      <c r="T16">
        <v>48</v>
      </c>
      <c r="U16">
        <v>1.84</v>
      </c>
    </row>
    <row r="17" spans="1:21" x14ac:dyDescent="0.25">
      <c r="A17">
        <v>33.643591999999998</v>
      </c>
      <c r="B17">
        <v>72.997788</v>
      </c>
      <c r="C17">
        <v>3</v>
      </c>
      <c r="D17" s="11" t="s">
        <v>31</v>
      </c>
      <c r="E17" s="9">
        <f t="shared" si="2"/>
        <v>42466</v>
      </c>
      <c r="F17">
        <v>148.36000000000001</v>
      </c>
      <c r="G17">
        <v>165.21</v>
      </c>
      <c r="H17">
        <v>325</v>
      </c>
      <c r="I17">
        <v>47</v>
      </c>
      <c r="J17">
        <v>297</v>
      </c>
      <c r="K17">
        <v>21.9</v>
      </c>
      <c r="L17">
        <v>49</v>
      </c>
      <c r="M17">
        <v>3.6</v>
      </c>
      <c r="N17">
        <v>5.7</v>
      </c>
      <c r="O17">
        <v>245</v>
      </c>
      <c r="P17">
        <v>17.3</v>
      </c>
      <c r="Q17">
        <v>946</v>
      </c>
      <c r="R17">
        <v>-1.2</v>
      </c>
      <c r="S17">
        <v>273</v>
      </c>
      <c r="T17">
        <v>304</v>
      </c>
      <c r="U17">
        <v>1.84</v>
      </c>
    </row>
    <row r="18" spans="1:21" x14ac:dyDescent="0.25">
      <c r="A18">
        <v>33.647927000000003</v>
      </c>
      <c r="B18">
        <v>72.990663999999995</v>
      </c>
      <c r="C18">
        <v>4</v>
      </c>
      <c r="D18" s="11" t="s">
        <v>31</v>
      </c>
      <c r="E18" s="9">
        <f t="shared" si="2"/>
        <v>42466</v>
      </c>
      <c r="F18">
        <v>46.19</v>
      </c>
      <c r="G18">
        <v>71.19</v>
      </c>
      <c r="H18">
        <v>325</v>
      </c>
      <c r="I18">
        <v>47</v>
      </c>
      <c r="J18">
        <v>297</v>
      </c>
      <c r="K18">
        <v>21.9</v>
      </c>
      <c r="L18">
        <v>49</v>
      </c>
      <c r="M18">
        <v>3.6</v>
      </c>
      <c r="N18">
        <v>5.7</v>
      </c>
      <c r="O18">
        <v>245</v>
      </c>
      <c r="P18">
        <v>17.3</v>
      </c>
      <c r="Q18">
        <v>946</v>
      </c>
      <c r="R18">
        <v>-1.2</v>
      </c>
      <c r="S18">
        <v>85</v>
      </c>
      <c r="T18">
        <v>131</v>
      </c>
      <c r="U18">
        <v>1.84</v>
      </c>
    </row>
    <row r="19" spans="1:21" x14ac:dyDescent="0.25">
      <c r="A19">
        <v>33.644953000000001</v>
      </c>
      <c r="B19">
        <v>72.988044000000002</v>
      </c>
      <c r="C19">
        <v>6</v>
      </c>
      <c r="D19" t="s">
        <v>32</v>
      </c>
      <c r="E19" s="9">
        <f t="shared" si="2"/>
        <v>42466</v>
      </c>
      <c r="F19">
        <v>77.709999999999994</v>
      </c>
      <c r="G19">
        <v>332.06</v>
      </c>
      <c r="H19">
        <v>325</v>
      </c>
      <c r="I19">
        <v>47</v>
      </c>
      <c r="J19">
        <v>297</v>
      </c>
      <c r="K19">
        <v>21.9</v>
      </c>
      <c r="L19">
        <v>49</v>
      </c>
      <c r="M19">
        <v>3.6</v>
      </c>
      <c r="N19">
        <v>5.7</v>
      </c>
      <c r="O19">
        <v>245</v>
      </c>
      <c r="P19">
        <v>17.3</v>
      </c>
      <c r="Q19">
        <v>946</v>
      </c>
      <c r="R19">
        <v>-1.2</v>
      </c>
      <c r="S19">
        <v>143</v>
      </c>
      <c r="T19">
        <v>611</v>
      </c>
      <c r="U19">
        <v>1.84</v>
      </c>
    </row>
    <row r="20" spans="1:21" x14ac:dyDescent="0.25">
      <c r="A20">
        <v>33.645963999999999</v>
      </c>
      <c r="B20">
        <v>72.980853999999994</v>
      </c>
      <c r="C20">
        <v>1</v>
      </c>
      <c r="D20" s="11" t="s">
        <v>33</v>
      </c>
      <c r="E20" s="13">
        <f>DATE(2016,4,7)</f>
        <v>42467</v>
      </c>
      <c r="F20">
        <v>23.91</v>
      </c>
      <c r="G20">
        <v>825</v>
      </c>
      <c r="H20">
        <v>633</v>
      </c>
      <c r="I20">
        <v>606</v>
      </c>
      <c r="J20">
        <v>168</v>
      </c>
      <c r="K20">
        <v>25.7</v>
      </c>
      <c r="L20">
        <v>38</v>
      </c>
      <c r="M20">
        <v>3</v>
      </c>
      <c r="N20">
        <v>5.8</v>
      </c>
      <c r="O20">
        <v>207</v>
      </c>
      <c r="P20">
        <v>28.2</v>
      </c>
      <c r="Q20">
        <v>946</v>
      </c>
      <c r="R20">
        <v>-7.9</v>
      </c>
      <c r="S20">
        <v>422</v>
      </c>
      <c r="T20">
        <v>1518</v>
      </c>
      <c r="U20">
        <v>1.84</v>
      </c>
    </row>
    <row r="21" spans="1:21" x14ac:dyDescent="0.25">
      <c r="A21">
        <v>33.638288000000003</v>
      </c>
      <c r="B21">
        <v>72.989778000000001</v>
      </c>
      <c r="C21">
        <v>2</v>
      </c>
      <c r="D21" s="11" t="s">
        <v>33</v>
      </c>
      <c r="E21" s="9">
        <f t="shared" ref="E21:E25" si="3">DATE(2016,4,7)</f>
        <v>42467</v>
      </c>
      <c r="F21">
        <v>162.5</v>
      </c>
      <c r="G21">
        <v>272.27999999999997</v>
      </c>
      <c r="H21">
        <v>633</v>
      </c>
      <c r="I21">
        <v>606</v>
      </c>
      <c r="J21">
        <v>168</v>
      </c>
      <c r="K21">
        <v>25.7</v>
      </c>
      <c r="L21">
        <v>38</v>
      </c>
      <c r="M21">
        <v>3</v>
      </c>
      <c r="N21">
        <v>5.8</v>
      </c>
      <c r="O21">
        <v>207</v>
      </c>
      <c r="P21">
        <v>28.2</v>
      </c>
      <c r="Q21">
        <v>946</v>
      </c>
      <c r="R21">
        <v>-7.9</v>
      </c>
      <c r="S21">
        <v>299</v>
      </c>
      <c r="T21">
        <v>501</v>
      </c>
      <c r="U21">
        <v>1.84</v>
      </c>
    </row>
    <row r="22" spans="1:21" x14ac:dyDescent="0.25">
      <c r="A22">
        <v>33.643591999999998</v>
      </c>
      <c r="B22">
        <v>72.997788</v>
      </c>
      <c r="C22">
        <v>3</v>
      </c>
      <c r="D22" s="11" t="s">
        <v>33</v>
      </c>
      <c r="E22" s="9">
        <f t="shared" si="3"/>
        <v>42467</v>
      </c>
      <c r="F22">
        <v>162.5</v>
      </c>
      <c r="G22">
        <v>320.64999999999998</v>
      </c>
      <c r="H22">
        <v>633</v>
      </c>
      <c r="I22">
        <v>606</v>
      </c>
      <c r="J22">
        <v>168</v>
      </c>
      <c r="K22">
        <v>25.7</v>
      </c>
      <c r="L22">
        <v>38</v>
      </c>
      <c r="M22">
        <v>3</v>
      </c>
      <c r="N22">
        <v>5.8</v>
      </c>
      <c r="O22">
        <v>207</v>
      </c>
      <c r="P22">
        <v>28.2</v>
      </c>
      <c r="Q22">
        <v>946</v>
      </c>
      <c r="R22">
        <v>-7.9</v>
      </c>
      <c r="S22">
        <v>299</v>
      </c>
      <c r="T22">
        <v>590</v>
      </c>
      <c r="U22">
        <v>1.84</v>
      </c>
    </row>
    <row r="23" spans="1:21" x14ac:dyDescent="0.25">
      <c r="A23">
        <v>33.647927000000003</v>
      </c>
      <c r="B23">
        <v>72.990663999999995</v>
      </c>
      <c r="C23">
        <v>4</v>
      </c>
      <c r="D23" s="11" t="s">
        <v>33</v>
      </c>
      <c r="E23" s="9">
        <f t="shared" si="3"/>
        <v>42467</v>
      </c>
      <c r="F23">
        <v>341.84</v>
      </c>
      <c r="G23">
        <v>361.95</v>
      </c>
      <c r="H23">
        <v>633</v>
      </c>
      <c r="I23">
        <v>606</v>
      </c>
      <c r="J23">
        <v>168</v>
      </c>
      <c r="K23">
        <v>25.7</v>
      </c>
      <c r="L23">
        <v>38</v>
      </c>
      <c r="M23">
        <v>3</v>
      </c>
      <c r="N23">
        <v>5.8</v>
      </c>
      <c r="O23">
        <v>207</v>
      </c>
      <c r="P23">
        <v>28.2</v>
      </c>
      <c r="Q23">
        <v>946</v>
      </c>
      <c r="R23">
        <v>-7.9</v>
      </c>
      <c r="S23">
        <v>629</v>
      </c>
      <c r="T23">
        <v>666</v>
      </c>
      <c r="U23">
        <v>1.84</v>
      </c>
    </row>
    <row r="24" spans="1:21" x14ac:dyDescent="0.25">
      <c r="A24">
        <v>33.645104000000003</v>
      </c>
      <c r="B24">
        <v>72.988082000000006</v>
      </c>
      <c r="C24">
        <v>5</v>
      </c>
      <c r="D24" s="11" t="s">
        <v>33</v>
      </c>
      <c r="E24" s="9">
        <f t="shared" si="3"/>
        <v>42467</v>
      </c>
      <c r="F24">
        <v>20.65</v>
      </c>
      <c r="G24">
        <v>44.02</v>
      </c>
      <c r="H24">
        <v>633</v>
      </c>
      <c r="I24">
        <v>606</v>
      </c>
      <c r="J24">
        <v>168</v>
      </c>
      <c r="K24">
        <v>25.7</v>
      </c>
      <c r="L24">
        <v>38</v>
      </c>
      <c r="M24">
        <v>3</v>
      </c>
      <c r="N24">
        <v>5.8</v>
      </c>
      <c r="O24">
        <v>207</v>
      </c>
      <c r="P24">
        <v>28.2</v>
      </c>
      <c r="Q24">
        <v>946</v>
      </c>
      <c r="R24">
        <v>-7.9</v>
      </c>
      <c r="S24">
        <v>38</v>
      </c>
      <c r="T24">
        <v>81</v>
      </c>
      <c r="U24">
        <v>1.84</v>
      </c>
    </row>
    <row r="25" spans="1:21" x14ac:dyDescent="0.25">
      <c r="A25">
        <v>33.644953000000001</v>
      </c>
      <c r="B25">
        <v>72.988044000000002</v>
      </c>
      <c r="C25">
        <v>6</v>
      </c>
      <c r="D25" t="s">
        <v>34</v>
      </c>
      <c r="E25" s="9">
        <f t="shared" si="3"/>
        <v>42467</v>
      </c>
      <c r="F25">
        <v>245.65</v>
      </c>
      <c r="G25">
        <v>317.39</v>
      </c>
      <c r="H25">
        <v>633</v>
      </c>
      <c r="I25">
        <v>606</v>
      </c>
      <c r="J25">
        <v>168</v>
      </c>
      <c r="K25">
        <v>25.7</v>
      </c>
      <c r="L25">
        <v>38</v>
      </c>
      <c r="M25">
        <v>3</v>
      </c>
      <c r="N25">
        <v>5.8</v>
      </c>
      <c r="O25">
        <v>207</v>
      </c>
      <c r="P25">
        <v>28.2</v>
      </c>
      <c r="Q25">
        <v>946</v>
      </c>
      <c r="R25">
        <v>-7.9</v>
      </c>
      <c r="S25">
        <v>452</v>
      </c>
      <c r="T25">
        <v>584</v>
      </c>
      <c r="U25">
        <v>1.84</v>
      </c>
    </row>
    <row r="26" spans="1:21" x14ac:dyDescent="0.25">
      <c r="A26">
        <v>33.645963999999999</v>
      </c>
      <c r="B26">
        <v>72.980853999999994</v>
      </c>
      <c r="C26">
        <v>1</v>
      </c>
      <c r="D26" t="s">
        <v>35</v>
      </c>
      <c r="E26" s="13">
        <f>DATE(2016,4,8)</f>
        <v>42468</v>
      </c>
      <c r="F26">
        <v>339.67</v>
      </c>
      <c r="G26">
        <v>242.93</v>
      </c>
      <c r="H26">
        <v>648</v>
      </c>
      <c r="I26">
        <v>374</v>
      </c>
      <c r="J26">
        <v>328</v>
      </c>
      <c r="K26">
        <v>27.7</v>
      </c>
      <c r="L26">
        <v>32</v>
      </c>
      <c r="M26">
        <v>1.8</v>
      </c>
      <c r="N26">
        <v>3.6</v>
      </c>
      <c r="O26">
        <v>153</v>
      </c>
      <c r="P26">
        <v>31</v>
      </c>
      <c r="Q26">
        <v>947</v>
      </c>
      <c r="R26">
        <v>-8.6</v>
      </c>
      <c r="S26">
        <v>625</v>
      </c>
      <c r="T26">
        <v>477</v>
      </c>
      <c r="U26">
        <v>1.84</v>
      </c>
    </row>
    <row r="27" spans="1:21" x14ac:dyDescent="0.25">
      <c r="A27">
        <v>33.638288000000003</v>
      </c>
      <c r="B27">
        <v>72.989778000000001</v>
      </c>
      <c r="C27">
        <v>2</v>
      </c>
      <c r="D27" t="s">
        <v>35</v>
      </c>
      <c r="E27" s="9">
        <f t="shared" ref="E27:E29" si="4">DATE(2016,4,8)</f>
        <v>42468</v>
      </c>
      <c r="F27">
        <v>84.23</v>
      </c>
      <c r="G27">
        <v>47.28</v>
      </c>
      <c r="H27">
        <v>648</v>
      </c>
      <c r="I27">
        <v>374</v>
      </c>
      <c r="J27">
        <v>328</v>
      </c>
      <c r="K27">
        <v>27.7</v>
      </c>
      <c r="L27">
        <v>32</v>
      </c>
      <c r="M27">
        <v>1.8</v>
      </c>
      <c r="N27">
        <v>3.6</v>
      </c>
      <c r="O27">
        <v>153</v>
      </c>
      <c r="P27">
        <v>31</v>
      </c>
      <c r="Q27">
        <v>947</v>
      </c>
      <c r="R27">
        <v>-8.6</v>
      </c>
      <c r="S27">
        <v>155</v>
      </c>
      <c r="T27">
        <v>87</v>
      </c>
      <c r="U27">
        <v>1.84</v>
      </c>
    </row>
    <row r="28" spans="1:21" x14ac:dyDescent="0.25">
      <c r="A28">
        <v>33.647927000000003</v>
      </c>
      <c r="B28">
        <v>72.990663999999995</v>
      </c>
      <c r="C28">
        <v>4</v>
      </c>
      <c r="D28" t="s">
        <v>35</v>
      </c>
      <c r="E28" s="9">
        <f t="shared" si="4"/>
        <v>42468</v>
      </c>
      <c r="F28">
        <v>198.91</v>
      </c>
      <c r="G28">
        <v>173.36</v>
      </c>
      <c r="H28">
        <v>648</v>
      </c>
      <c r="I28">
        <v>374</v>
      </c>
      <c r="J28">
        <v>328</v>
      </c>
      <c r="K28">
        <v>27.7</v>
      </c>
      <c r="L28">
        <v>32</v>
      </c>
      <c r="M28">
        <v>1.8</v>
      </c>
      <c r="N28">
        <v>3.6</v>
      </c>
      <c r="O28">
        <v>153</v>
      </c>
      <c r="P28">
        <v>31</v>
      </c>
      <c r="Q28">
        <v>947</v>
      </c>
      <c r="R28">
        <v>-8.6</v>
      </c>
      <c r="S28">
        <v>366</v>
      </c>
      <c r="T28">
        <v>319</v>
      </c>
      <c r="U28">
        <v>1.84</v>
      </c>
    </row>
    <row r="29" spans="1:21" x14ac:dyDescent="0.25">
      <c r="A29">
        <v>33.645104000000003</v>
      </c>
      <c r="B29">
        <v>72.988082000000006</v>
      </c>
      <c r="C29">
        <v>5</v>
      </c>
      <c r="D29" t="s">
        <v>35</v>
      </c>
      <c r="E29" s="9">
        <f t="shared" si="4"/>
        <v>42468</v>
      </c>
      <c r="F29">
        <v>11.41</v>
      </c>
      <c r="G29">
        <v>11.41</v>
      </c>
      <c r="H29">
        <v>648</v>
      </c>
      <c r="I29">
        <v>374</v>
      </c>
      <c r="J29">
        <v>328</v>
      </c>
      <c r="K29">
        <v>27.7</v>
      </c>
      <c r="L29">
        <v>32</v>
      </c>
      <c r="M29">
        <v>1.8</v>
      </c>
      <c r="N29">
        <v>3.6</v>
      </c>
      <c r="O29">
        <v>153</v>
      </c>
      <c r="P29">
        <v>31</v>
      </c>
      <c r="Q29">
        <v>947</v>
      </c>
      <c r="R29">
        <v>-8.6</v>
      </c>
      <c r="S29">
        <v>21</v>
      </c>
      <c r="T29">
        <v>21</v>
      </c>
      <c r="U29">
        <v>1.84</v>
      </c>
    </row>
    <row r="30" spans="1:21" x14ac:dyDescent="0.25">
      <c r="A30">
        <v>33.645963999999999</v>
      </c>
      <c r="B30">
        <v>72.980853999999994</v>
      </c>
      <c r="C30">
        <v>1</v>
      </c>
      <c r="D30" t="s">
        <v>36</v>
      </c>
      <c r="E30" s="13">
        <f>DATE(2016,4,12)</f>
        <v>42472</v>
      </c>
      <c r="F30">
        <v>65.790000000000006</v>
      </c>
      <c r="G30">
        <v>193.48</v>
      </c>
      <c r="H30">
        <v>669</v>
      </c>
      <c r="I30">
        <v>705</v>
      </c>
      <c r="J30">
        <v>105</v>
      </c>
      <c r="K30">
        <v>26</v>
      </c>
      <c r="L30">
        <v>39</v>
      </c>
      <c r="M30">
        <v>4</v>
      </c>
      <c r="N30">
        <v>7</v>
      </c>
      <c r="O30">
        <v>285</v>
      </c>
      <c r="P30">
        <v>21</v>
      </c>
      <c r="Q30">
        <v>944</v>
      </c>
      <c r="R30">
        <v>-11</v>
      </c>
      <c r="S30">
        <v>202</v>
      </c>
      <c r="T30">
        <v>594</v>
      </c>
      <c r="U30">
        <v>1.84</v>
      </c>
    </row>
    <row r="31" spans="1:21" x14ac:dyDescent="0.25">
      <c r="A31">
        <v>33.638288000000003</v>
      </c>
      <c r="B31">
        <v>72.989778000000001</v>
      </c>
      <c r="C31">
        <v>2</v>
      </c>
      <c r="D31" t="s">
        <v>36</v>
      </c>
      <c r="E31" s="9">
        <f t="shared" ref="E31:E35" si="5">DATE(2016,4,12)</f>
        <v>42472</v>
      </c>
      <c r="F31">
        <v>120.52</v>
      </c>
      <c r="G31">
        <v>105.21</v>
      </c>
      <c r="H31">
        <v>669</v>
      </c>
      <c r="I31">
        <v>705</v>
      </c>
      <c r="J31">
        <v>105</v>
      </c>
      <c r="K31">
        <v>26</v>
      </c>
      <c r="L31">
        <v>39</v>
      </c>
      <c r="M31">
        <v>4</v>
      </c>
      <c r="N31">
        <v>7</v>
      </c>
      <c r="O31">
        <v>285</v>
      </c>
      <c r="P31">
        <v>21</v>
      </c>
      <c r="Q31">
        <v>944</v>
      </c>
      <c r="R31">
        <v>-11</v>
      </c>
      <c r="S31">
        <v>370</v>
      </c>
      <c r="T31">
        <v>323</v>
      </c>
      <c r="U31">
        <v>1.84</v>
      </c>
    </row>
    <row r="32" spans="1:21" x14ac:dyDescent="0.25">
      <c r="A32">
        <v>33.643591999999998</v>
      </c>
      <c r="B32">
        <v>72.997788</v>
      </c>
      <c r="C32">
        <v>3</v>
      </c>
      <c r="D32" t="s">
        <v>36</v>
      </c>
      <c r="E32" s="9">
        <f t="shared" si="5"/>
        <v>42472</v>
      </c>
      <c r="F32">
        <v>49.83</v>
      </c>
      <c r="G32">
        <v>157.65</v>
      </c>
      <c r="H32">
        <v>669</v>
      </c>
      <c r="I32">
        <v>705</v>
      </c>
      <c r="J32">
        <v>105</v>
      </c>
      <c r="K32">
        <v>26</v>
      </c>
      <c r="L32">
        <v>39</v>
      </c>
      <c r="M32">
        <v>4</v>
      </c>
      <c r="N32">
        <v>7</v>
      </c>
      <c r="O32">
        <v>285</v>
      </c>
      <c r="P32">
        <v>21</v>
      </c>
      <c r="Q32">
        <v>944</v>
      </c>
      <c r="R32">
        <v>-11</v>
      </c>
      <c r="S32">
        <v>153</v>
      </c>
      <c r="T32">
        <v>484</v>
      </c>
      <c r="U32">
        <v>1.84</v>
      </c>
    </row>
    <row r="33" spans="1:21" x14ac:dyDescent="0.25">
      <c r="A33">
        <v>33.647927000000003</v>
      </c>
      <c r="B33">
        <v>72.990663999999995</v>
      </c>
      <c r="C33">
        <v>4</v>
      </c>
      <c r="D33" t="s">
        <v>36</v>
      </c>
      <c r="E33" s="9">
        <f t="shared" si="5"/>
        <v>42472</v>
      </c>
      <c r="F33">
        <v>168</v>
      </c>
      <c r="G33">
        <v>150.81</v>
      </c>
      <c r="H33">
        <v>669</v>
      </c>
      <c r="I33">
        <v>705</v>
      </c>
      <c r="J33">
        <v>105</v>
      </c>
      <c r="K33">
        <v>26</v>
      </c>
      <c r="L33">
        <v>39</v>
      </c>
      <c r="M33">
        <v>4</v>
      </c>
      <c r="N33">
        <v>7</v>
      </c>
      <c r="O33">
        <v>285</v>
      </c>
      <c r="P33">
        <v>21</v>
      </c>
      <c r="Q33">
        <v>944</v>
      </c>
      <c r="R33">
        <v>-11</v>
      </c>
      <c r="S33">
        <v>517</v>
      </c>
      <c r="T33">
        <v>463</v>
      </c>
      <c r="U33">
        <v>1.84</v>
      </c>
    </row>
    <row r="34" spans="1:21" x14ac:dyDescent="0.25">
      <c r="A34">
        <v>33.645104000000003</v>
      </c>
      <c r="B34">
        <v>72.988082000000006</v>
      </c>
      <c r="C34">
        <v>5</v>
      </c>
      <c r="D34" t="s">
        <v>37</v>
      </c>
      <c r="E34" s="9">
        <f t="shared" si="5"/>
        <v>42472</v>
      </c>
      <c r="F34">
        <v>105.86</v>
      </c>
      <c r="G34">
        <v>90.55</v>
      </c>
      <c r="H34">
        <v>669</v>
      </c>
      <c r="I34">
        <v>705</v>
      </c>
      <c r="J34">
        <v>105</v>
      </c>
      <c r="K34">
        <v>26</v>
      </c>
      <c r="L34">
        <v>39</v>
      </c>
      <c r="M34">
        <v>4</v>
      </c>
      <c r="N34">
        <v>7</v>
      </c>
      <c r="O34">
        <v>285</v>
      </c>
      <c r="P34">
        <v>21</v>
      </c>
      <c r="Q34">
        <v>944</v>
      </c>
      <c r="R34">
        <v>-11</v>
      </c>
      <c r="S34">
        <v>325</v>
      </c>
      <c r="T34">
        <v>278</v>
      </c>
      <c r="U34">
        <v>1.84</v>
      </c>
    </row>
    <row r="35" spans="1:21" x14ac:dyDescent="0.25">
      <c r="A35">
        <v>33.644953000000001</v>
      </c>
      <c r="B35">
        <v>72.988044000000002</v>
      </c>
      <c r="C35">
        <v>6</v>
      </c>
      <c r="D35" t="s">
        <v>34</v>
      </c>
      <c r="E35" s="9">
        <f t="shared" si="5"/>
        <v>42472</v>
      </c>
      <c r="F35">
        <v>20.65</v>
      </c>
      <c r="G35">
        <v>109.78</v>
      </c>
      <c r="H35">
        <v>669</v>
      </c>
      <c r="I35">
        <v>705</v>
      </c>
      <c r="J35">
        <v>105</v>
      </c>
      <c r="K35">
        <v>26</v>
      </c>
      <c r="L35">
        <v>39</v>
      </c>
      <c r="M35">
        <v>4</v>
      </c>
      <c r="N35">
        <v>7</v>
      </c>
      <c r="O35">
        <v>285</v>
      </c>
      <c r="P35">
        <v>21</v>
      </c>
      <c r="Q35">
        <v>944</v>
      </c>
      <c r="R35">
        <v>-11</v>
      </c>
      <c r="S35">
        <v>38</v>
      </c>
      <c r="T35">
        <v>202</v>
      </c>
      <c r="U35">
        <v>1.84</v>
      </c>
    </row>
    <row r="36" spans="1:21" x14ac:dyDescent="0.25">
      <c r="A36">
        <v>33.645963999999999</v>
      </c>
      <c r="B36">
        <v>72.980853999999994</v>
      </c>
      <c r="C36">
        <v>1</v>
      </c>
      <c r="D36" t="s">
        <v>38</v>
      </c>
      <c r="E36" s="13">
        <f>DATE(2016,4,13)</f>
        <v>42473</v>
      </c>
      <c r="F36">
        <v>76.540000000000006</v>
      </c>
      <c r="G36">
        <v>212.05</v>
      </c>
      <c r="H36">
        <v>882</v>
      </c>
      <c r="I36">
        <v>853</v>
      </c>
      <c r="J36">
        <v>144</v>
      </c>
      <c r="K36">
        <v>28</v>
      </c>
      <c r="L36">
        <v>37</v>
      </c>
      <c r="M36">
        <v>4.7</v>
      </c>
      <c r="N36">
        <v>7.8</v>
      </c>
      <c r="O36">
        <v>286</v>
      </c>
      <c r="P36">
        <v>25</v>
      </c>
      <c r="Q36">
        <v>942</v>
      </c>
      <c r="R36">
        <v>-17</v>
      </c>
      <c r="S36">
        <v>235</v>
      </c>
      <c r="T36">
        <v>651</v>
      </c>
      <c r="U36">
        <v>1.84</v>
      </c>
    </row>
    <row r="37" spans="1:21" x14ac:dyDescent="0.25">
      <c r="A37">
        <v>33.638288000000003</v>
      </c>
      <c r="B37">
        <v>72.989778000000001</v>
      </c>
      <c r="C37">
        <v>2</v>
      </c>
      <c r="D37" t="s">
        <v>38</v>
      </c>
      <c r="E37" s="9">
        <f t="shared" ref="E37:E41" si="6">DATE(2016,4,13)</f>
        <v>42473</v>
      </c>
      <c r="F37">
        <v>177.19</v>
      </c>
      <c r="G37">
        <v>202.28</v>
      </c>
      <c r="H37">
        <v>882</v>
      </c>
      <c r="I37">
        <v>853</v>
      </c>
      <c r="J37">
        <v>144</v>
      </c>
      <c r="K37">
        <v>28</v>
      </c>
      <c r="L37">
        <v>37</v>
      </c>
      <c r="M37">
        <v>4.7</v>
      </c>
      <c r="N37">
        <v>7.8</v>
      </c>
      <c r="O37">
        <v>286</v>
      </c>
      <c r="P37">
        <v>25</v>
      </c>
      <c r="Q37">
        <v>942</v>
      </c>
      <c r="R37">
        <v>-17</v>
      </c>
      <c r="S37">
        <v>544</v>
      </c>
      <c r="T37">
        <v>621</v>
      </c>
      <c r="U37">
        <v>1.84</v>
      </c>
    </row>
    <row r="38" spans="1:21" x14ac:dyDescent="0.25">
      <c r="A38">
        <v>33.643591999999998</v>
      </c>
      <c r="B38">
        <v>72.997788</v>
      </c>
      <c r="C38">
        <v>3</v>
      </c>
      <c r="D38" t="s">
        <v>38</v>
      </c>
      <c r="E38" s="9">
        <f t="shared" si="6"/>
        <v>42473</v>
      </c>
      <c r="F38">
        <v>56.67</v>
      </c>
      <c r="G38">
        <v>407.49</v>
      </c>
      <c r="H38">
        <v>882</v>
      </c>
      <c r="I38">
        <v>853</v>
      </c>
      <c r="J38">
        <v>144</v>
      </c>
      <c r="K38">
        <v>28</v>
      </c>
      <c r="L38">
        <v>37</v>
      </c>
      <c r="M38">
        <v>4.7</v>
      </c>
      <c r="N38">
        <v>7.8</v>
      </c>
      <c r="O38">
        <v>286</v>
      </c>
      <c r="P38">
        <v>25</v>
      </c>
      <c r="Q38">
        <v>942</v>
      </c>
      <c r="R38">
        <v>-17</v>
      </c>
      <c r="S38">
        <v>174</v>
      </c>
      <c r="T38">
        <v>1251</v>
      </c>
      <c r="U38">
        <v>1.84</v>
      </c>
    </row>
    <row r="39" spans="1:21" x14ac:dyDescent="0.25">
      <c r="A39">
        <v>33.647927000000003</v>
      </c>
      <c r="B39">
        <v>72.990663999999995</v>
      </c>
      <c r="C39">
        <v>4</v>
      </c>
      <c r="D39" t="s">
        <v>38</v>
      </c>
      <c r="E39" s="9">
        <f t="shared" si="6"/>
        <v>42473</v>
      </c>
      <c r="F39">
        <v>171</v>
      </c>
      <c r="G39">
        <v>234.85</v>
      </c>
      <c r="H39">
        <v>882</v>
      </c>
      <c r="I39">
        <v>853</v>
      </c>
      <c r="J39">
        <v>144</v>
      </c>
      <c r="K39">
        <v>28</v>
      </c>
      <c r="L39">
        <v>37</v>
      </c>
      <c r="M39">
        <v>4.7</v>
      </c>
      <c r="N39">
        <v>7.8</v>
      </c>
      <c r="O39">
        <v>286</v>
      </c>
      <c r="P39">
        <v>25</v>
      </c>
      <c r="Q39">
        <v>942</v>
      </c>
      <c r="R39">
        <v>-17</v>
      </c>
      <c r="S39">
        <v>525</v>
      </c>
      <c r="T39">
        <v>721</v>
      </c>
      <c r="U39">
        <v>1.84</v>
      </c>
    </row>
    <row r="40" spans="1:21" x14ac:dyDescent="0.25">
      <c r="A40">
        <v>33.645104000000003</v>
      </c>
      <c r="B40">
        <v>72.988082000000006</v>
      </c>
      <c r="C40">
        <v>5</v>
      </c>
      <c r="D40" t="s">
        <v>38</v>
      </c>
      <c r="E40" s="9">
        <f t="shared" si="6"/>
        <v>42473</v>
      </c>
      <c r="F40">
        <v>30.94</v>
      </c>
      <c r="G40">
        <v>175.57</v>
      </c>
      <c r="H40">
        <v>882</v>
      </c>
      <c r="I40">
        <v>853</v>
      </c>
      <c r="J40">
        <v>144</v>
      </c>
      <c r="K40">
        <v>28</v>
      </c>
      <c r="L40">
        <v>37</v>
      </c>
      <c r="M40">
        <v>4.7</v>
      </c>
      <c r="N40">
        <v>7.8</v>
      </c>
      <c r="O40">
        <v>286</v>
      </c>
      <c r="P40">
        <v>25</v>
      </c>
      <c r="Q40">
        <v>942</v>
      </c>
      <c r="R40">
        <v>-17</v>
      </c>
      <c r="S40">
        <v>95</v>
      </c>
      <c r="T40">
        <v>539</v>
      </c>
      <c r="U40">
        <v>1.84</v>
      </c>
    </row>
    <row r="41" spans="1:21" x14ac:dyDescent="0.25">
      <c r="A41">
        <v>33.644953000000001</v>
      </c>
      <c r="B41">
        <v>72.988044000000002</v>
      </c>
      <c r="C41">
        <v>6</v>
      </c>
      <c r="D41" t="s">
        <v>34</v>
      </c>
      <c r="E41" s="9">
        <f t="shared" si="6"/>
        <v>42473</v>
      </c>
      <c r="F41">
        <v>25.54</v>
      </c>
      <c r="G41">
        <v>135.86000000000001</v>
      </c>
      <c r="H41">
        <v>882</v>
      </c>
      <c r="I41">
        <v>853</v>
      </c>
      <c r="J41">
        <v>144</v>
      </c>
      <c r="K41">
        <v>28</v>
      </c>
      <c r="L41">
        <v>37</v>
      </c>
      <c r="M41">
        <v>4.7</v>
      </c>
      <c r="N41">
        <v>7.8</v>
      </c>
      <c r="O41">
        <v>286</v>
      </c>
      <c r="P41">
        <v>25</v>
      </c>
      <c r="Q41">
        <v>942</v>
      </c>
      <c r="R41">
        <v>-17</v>
      </c>
      <c r="S41">
        <v>47</v>
      </c>
      <c r="T41">
        <v>250</v>
      </c>
      <c r="U41">
        <v>1.84</v>
      </c>
    </row>
    <row r="42" spans="1:21" x14ac:dyDescent="0.25">
      <c r="A42">
        <v>33.645963999999999</v>
      </c>
      <c r="B42">
        <v>72.980853999999994</v>
      </c>
      <c r="C42">
        <v>1</v>
      </c>
      <c r="D42" t="s">
        <v>39</v>
      </c>
      <c r="E42" s="13">
        <f>DATE(2016,4,14)</f>
        <v>42474</v>
      </c>
      <c r="F42">
        <v>34.520000000000003</v>
      </c>
      <c r="G42">
        <v>174.59</v>
      </c>
      <c r="H42">
        <v>658</v>
      </c>
      <c r="I42">
        <v>613</v>
      </c>
      <c r="J42">
        <v>176</v>
      </c>
      <c r="K42">
        <v>31</v>
      </c>
      <c r="L42">
        <v>24</v>
      </c>
      <c r="M42">
        <v>3.3</v>
      </c>
      <c r="N42">
        <v>5.3</v>
      </c>
      <c r="O42">
        <v>285</v>
      </c>
      <c r="P42">
        <v>23</v>
      </c>
      <c r="Q42">
        <v>942</v>
      </c>
      <c r="R42">
        <v>-15</v>
      </c>
      <c r="S42">
        <v>106</v>
      </c>
      <c r="T42">
        <v>536</v>
      </c>
      <c r="U42">
        <v>1.84</v>
      </c>
    </row>
    <row r="43" spans="1:21" x14ac:dyDescent="0.25">
      <c r="A43">
        <v>33.638288000000003</v>
      </c>
      <c r="B43">
        <v>72.989778000000001</v>
      </c>
      <c r="C43">
        <v>2</v>
      </c>
      <c r="D43" t="s">
        <v>39</v>
      </c>
      <c r="E43" s="9">
        <f t="shared" ref="E43:E47" si="7">DATE(2016,4,14)</f>
        <v>42474</v>
      </c>
      <c r="F43">
        <v>36.479999999999997</v>
      </c>
      <c r="G43">
        <v>88.92</v>
      </c>
      <c r="H43">
        <v>658</v>
      </c>
      <c r="I43">
        <v>613</v>
      </c>
      <c r="J43">
        <v>176</v>
      </c>
      <c r="K43">
        <v>31</v>
      </c>
      <c r="L43">
        <v>24</v>
      </c>
      <c r="M43">
        <v>3.3</v>
      </c>
      <c r="N43">
        <v>5.3</v>
      </c>
      <c r="O43">
        <v>285</v>
      </c>
      <c r="P43">
        <v>23</v>
      </c>
      <c r="Q43">
        <v>942</v>
      </c>
      <c r="R43">
        <v>-15</v>
      </c>
      <c r="S43">
        <v>112</v>
      </c>
      <c r="T43">
        <v>273</v>
      </c>
      <c r="U43">
        <v>1.84</v>
      </c>
    </row>
    <row r="44" spans="1:21" x14ac:dyDescent="0.25">
      <c r="A44">
        <v>33.643591999999998</v>
      </c>
      <c r="B44">
        <v>72.997788</v>
      </c>
      <c r="C44">
        <v>3</v>
      </c>
      <c r="D44" t="s">
        <v>39</v>
      </c>
      <c r="E44" s="9">
        <f t="shared" si="7"/>
        <v>42474</v>
      </c>
      <c r="F44">
        <v>57</v>
      </c>
      <c r="G44">
        <v>234.85</v>
      </c>
      <c r="H44">
        <v>658</v>
      </c>
      <c r="I44">
        <v>613</v>
      </c>
      <c r="J44">
        <v>176</v>
      </c>
      <c r="K44">
        <v>31</v>
      </c>
      <c r="L44">
        <v>24</v>
      </c>
      <c r="M44">
        <v>3.3</v>
      </c>
      <c r="N44">
        <v>5.3</v>
      </c>
      <c r="O44">
        <v>285</v>
      </c>
      <c r="P44">
        <v>23</v>
      </c>
      <c r="Q44">
        <v>942</v>
      </c>
      <c r="R44">
        <v>-15</v>
      </c>
      <c r="S44">
        <v>175</v>
      </c>
      <c r="T44">
        <v>721</v>
      </c>
      <c r="U44">
        <v>1.84</v>
      </c>
    </row>
    <row r="45" spans="1:21" x14ac:dyDescent="0.25">
      <c r="A45">
        <v>33.647927000000003</v>
      </c>
      <c r="B45">
        <v>72.990663999999995</v>
      </c>
      <c r="C45">
        <v>4</v>
      </c>
      <c r="D45" t="s">
        <v>39</v>
      </c>
      <c r="E45" s="9">
        <f t="shared" si="7"/>
        <v>42474</v>
      </c>
      <c r="F45">
        <v>62.86</v>
      </c>
      <c r="G45">
        <v>148.85</v>
      </c>
      <c r="H45">
        <v>658</v>
      </c>
      <c r="I45">
        <v>613</v>
      </c>
      <c r="J45">
        <v>176</v>
      </c>
      <c r="K45">
        <v>31</v>
      </c>
      <c r="L45">
        <v>24</v>
      </c>
      <c r="M45">
        <v>3.3</v>
      </c>
      <c r="N45">
        <v>5.3</v>
      </c>
      <c r="O45">
        <v>285</v>
      </c>
      <c r="P45">
        <v>23</v>
      </c>
      <c r="Q45">
        <v>942</v>
      </c>
      <c r="R45">
        <v>-15</v>
      </c>
      <c r="S45">
        <v>193</v>
      </c>
      <c r="T45">
        <v>457</v>
      </c>
      <c r="U45">
        <v>1.84</v>
      </c>
    </row>
    <row r="46" spans="1:21" x14ac:dyDescent="0.25">
      <c r="A46">
        <v>33.645104000000003</v>
      </c>
      <c r="B46">
        <v>72.988082000000006</v>
      </c>
      <c r="C46">
        <v>5</v>
      </c>
      <c r="D46" t="s">
        <v>39</v>
      </c>
      <c r="E46" s="9">
        <f t="shared" si="7"/>
        <v>42474</v>
      </c>
      <c r="F46">
        <v>13.68</v>
      </c>
      <c r="G46">
        <v>70.680000000000007</v>
      </c>
      <c r="H46">
        <v>658</v>
      </c>
      <c r="I46">
        <v>613</v>
      </c>
      <c r="J46">
        <v>176</v>
      </c>
      <c r="K46">
        <v>31</v>
      </c>
      <c r="L46">
        <v>24</v>
      </c>
      <c r="M46">
        <v>3.3</v>
      </c>
      <c r="N46">
        <v>5.3</v>
      </c>
      <c r="O46">
        <v>285</v>
      </c>
      <c r="P46">
        <v>23</v>
      </c>
      <c r="Q46">
        <v>942</v>
      </c>
      <c r="R46">
        <v>-15</v>
      </c>
      <c r="S46">
        <v>42</v>
      </c>
      <c r="T46">
        <v>217</v>
      </c>
      <c r="U46">
        <v>1.84</v>
      </c>
    </row>
    <row r="47" spans="1:21" x14ac:dyDescent="0.25">
      <c r="A47">
        <v>33.644953000000001</v>
      </c>
      <c r="B47">
        <v>72.988044000000002</v>
      </c>
      <c r="C47">
        <v>6</v>
      </c>
      <c r="D47" t="s">
        <v>40</v>
      </c>
      <c r="E47" s="9">
        <f t="shared" si="7"/>
        <v>42474</v>
      </c>
      <c r="F47">
        <v>71.73</v>
      </c>
      <c r="G47">
        <v>210.86</v>
      </c>
      <c r="H47">
        <v>658</v>
      </c>
      <c r="I47">
        <v>613</v>
      </c>
      <c r="J47">
        <v>176</v>
      </c>
      <c r="K47">
        <v>31</v>
      </c>
      <c r="L47">
        <v>24</v>
      </c>
      <c r="M47">
        <v>3.3</v>
      </c>
      <c r="N47">
        <v>5.3</v>
      </c>
      <c r="O47">
        <v>285</v>
      </c>
      <c r="P47">
        <v>23</v>
      </c>
      <c r="Q47">
        <v>942</v>
      </c>
      <c r="R47">
        <v>-15</v>
      </c>
      <c r="S47">
        <v>132</v>
      </c>
      <c r="T47">
        <v>388</v>
      </c>
      <c r="U47">
        <v>1.84</v>
      </c>
    </row>
    <row r="48" spans="1:21" x14ac:dyDescent="0.25">
      <c r="A48">
        <v>33.645963999999999</v>
      </c>
      <c r="B48">
        <v>72.980853999999994</v>
      </c>
      <c r="C48">
        <v>1</v>
      </c>
      <c r="D48" s="11" t="s">
        <v>38</v>
      </c>
      <c r="E48" s="13">
        <f>DATE(2016,4,15)</f>
        <v>42475</v>
      </c>
      <c r="F48">
        <v>32.57</v>
      </c>
      <c r="G48">
        <v>101.62</v>
      </c>
      <c r="H48">
        <v>679</v>
      </c>
      <c r="I48">
        <v>530</v>
      </c>
      <c r="J48">
        <v>229</v>
      </c>
      <c r="K48">
        <v>32</v>
      </c>
      <c r="L48">
        <v>24</v>
      </c>
      <c r="M48">
        <v>2.9</v>
      </c>
      <c r="N48">
        <v>4.8</v>
      </c>
      <c r="O48">
        <v>261</v>
      </c>
      <c r="P48">
        <v>21</v>
      </c>
      <c r="Q48">
        <v>943</v>
      </c>
      <c r="R48">
        <v>-17</v>
      </c>
      <c r="S48">
        <v>100</v>
      </c>
      <c r="T48">
        <v>312</v>
      </c>
      <c r="U48">
        <v>1.84</v>
      </c>
    </row>
    <row r="49" spans="1:21" x14ac:dyDescent="0.25">
      <c r="A49">
        <v>33.638288000000003</v>
      </c>
      <c r="B49">
        <v>72.989778000000001</v>
      </c>
      <c r="C49">
        <v>2</v>
      </c>
      <c r="D49" s="11" t="s">
        <v>38</v>
      </c>
      <c r="E49" s="9">
        <f t="shared" ref="E49:E53" si="8">DATE(2016,4,15)</f>
        <v>42475</v>
      </c>
      <c r="F49">
        <v>134.52000000000001</v>
      </c>
      <c r="G49">
        <v>152.11000000000001</v>
      </c>
      <c r="H49">
        <v>679</v>
      </c>
      <c r="I49">
        <v>530</v>
      </c>
      <c r="J49">
        <v>229</v>
      </c>
      <c r="K49">
        <v>32</v>
      </c>
      <c r="L49">
        <v>24</v>
      </c>
      <c r="M49">
        <v>2.9</v>
      </c>
      <c r="N49">
        <v>4.8</v>
      </c>
      <c r="O49">
        <v>261</v>
      </c>
      <c r="P49">
        <v>21</v>
      </c>
      <c r="Q49">
        <v>943</v>
      </c>
      <c r="R49">
        <v>-17</v>
      </c>
      <c r="S49">
        <v>413</v>
      </c>
      <c r="T49">
        <v>467</v>
      </c>
      <c r="U49">
        <v>1.84</v>
      </c>
    </row>
    <row r="50" spans="1:21" x14ac:dyDescent="0.25">
      <c r="A50">
        <v>33.643591999999998</v>
      </c>
      <c r="B50">
        <v>72.997788</v>
      </c>
      <c r="C50">
        <v>3</v>
      </c>
      <c r="D50" s="11" t="s">
        <v>38</v>
      </c>
      <c r="E50" s="9">
        <f t="shared" si="8"/>
        <v>42475</v>
      </c>
      <c r="F50">
        <v>30.61</v>
      </c>
      <c r="G50">
        <v>51.14</v>
      </c>
      <c r="H50">
        <v>679</v>
      </c>
      <c r="I50">
        <v>530</v>
      </c>
      <c r="J50">
        <v>229</v>
      </c>
      <c r="K50">
        <v>32</v>
      </c>
      <c r="L50">
        <v>24</v>
      </c>
      <c r="M50">
        <v>2.9</v>
      </c>
      <c r="N50">
        <v>4.8</v>
      </c>
      <c r="O50">
        <v>261</v>
      </c>
      <c r="P50">
        <v>21</v>
      </c>
      <c r="Q50">
        <v>943</v>
      </c>
      <c r="R50">
        <v>-17</v>
      </c>
      <c r="S50">
        <v>94</v>
      </c>
      <c r="T50">
        <v>157</v>
      </c>
      <c r="U50">
        <v>1.84</v>
      </c>
    </row>
    <row r="51" spans="1:21" x14ac:dyDescent="0.25">
      <c r="A51">
        <v>33.647927000000003</v>
      </c>
      <c r="B51">
        <v>72.990663999999995</v>
      </c>
      <c r="C51">
        <v>4</v>
      </c>
      <c r="D51" s="11" t="s">
        <v>41</v>
      </c>
      <c r="E51" s="9">
        <f t="shared" si="8"/>
        <v>42475</v>
      </c>
      <c r="F51">
        <v>61.88</v>
      </c>
      <c r="G51">
        <v>116.61</v>
      </c>
      <c r="H51">
        <v>679</v>
      </c>
      <c r="I51">
        <v>530</v>
      </c>
      <c r="J51">
        <v>229</v>
      </c>
      <c r="K51">
        <v>32</v>
      </c>
      <c r="L51">
        <v>24</v>
      </c>
      <c r="M51">
        <v>2.9</v>
      </c>
      <c r="N51">
        <v>4.8</v>
      </c>
      <c r="O51">
        <v>261</v>
      </c>
      <c r="P51">
        <v>21</v>
      </c>
      <c r="Q51">
        <v>943</v>
      </c>
      <c r="R51">
        <v>-17</v>
      </c>
      <c r="S51">
        <v>190</v>
      </c>
      <c r="T51">
        <v>358</v>
      </c>
      <c r="U51">
        <v>1.84</v>
      </c>
    </row>
    <row r="52" spans="1:21" x14ac:dyDescent="0.25">
      <c r="A52">
        <v>33.645104000000003</v>
      </c>
      <c r="B52">
        <v>72.988082000000006</v>
      </c>
      <c r="C52">
        <v>5</v>
      </c>
      <c r="D52" s="11" t="s">
        <v>38</v>
      </c>
      <c r="E52" s="9">
        <f t="shared" si="8"/>
        <v>42475</v>
      </c>
      <c r="F52">
        <v>4.2300000000000004</v>
      </c>
      <c r="G52">
        <v>48.2</v>
      </c>
      <c r="H52">
        <v>679</v>
      </c>
      <c r="I52">
        <v>530</v>
      </c>
      <c r="J52">
        <v>229</v>
      </c>
      <c r="K52">
        <v>32</v>
      </c>
      <c r="L52">
        <v>24</v>
      </c>
      <c r="M52">
        <v>2.9</v>
      </c>
      <c r="N52">
        <v>4.8</v>
      </c>
      <c r="O52">
        <v>261</v>
      </c>
      <c r="P52">
        <v>21</v>
      </c>
      <c r="Q52">
        <v>943</v>
      </c>
      <c r="R52">
        <v>-17</v>
      </c>
      <c r="S52">
        <v>13</v>
      </c>
      <c r="T52">
        <v>148</v>
      </c>
      <c r="U52">
        <v>1.84</v>
      </c>
    </row>
    <row r="53" spans="1:21" x14ac:dyDescent="0.25">
      <c r="A53">
        <v>33.644953000000001</v>
      </c>
      <c r="B53">
        <v>72.988044000000002</v>
      </c>
      <c r="C53">
        <v>6</v>
      </c>
      <c r="D53" t="s">
        <v>42</v>
      </c>
      <c r="E53" s="9">
        <f t="shared" si="8"/>
        <v>42475</v>
      </c>
      <c r="F53">
        <v>26.08</v>
      </c>
      <c r="G53">
        <v>120.65</v>
      </c>
      <c r="H53">
        <v>679</v>
      </c>
      <c r="I53">
        <v>530</v>
      </c>
      <c r="J53">
        <v>229</v>
      </c>
      <c r="K53">
        <v>32</v>
      </c>
      <c r="L53">
        <v>24</v>
      </c>
      <c r="M53">
        <v>2.9</v>
      </c>
      <c r="N53">
        <v>4.8</v>
      </c>
      <c r="O53">
        <v>261</v>
      </c>
      <c r="P53">
        <v>21</v>
      </c>
      <c r="Q53">
        <v>943</v>
      </c>
      <c r="R53">
        <v>-17</v>
      </c>
      <c r="S53">
        <v>48</v>
      </c>
      <c r="T53">
        <v>222</v>
      </c>
      <c r="U53">
        <v>1.84</v>
      </c>
    </row>
    <row r="54" spans="1:21" x14ac:dyDescent="0.25">
      <c r="A54">
        <v>33.645963999999999</v>
      </c>
      <c r="B54">
        <v>72.980853999999994</v>
      </c>
      <c r="C54">
        <v>1</v>
      </c>
      <c r="D54" t="s">
        <v>43</v>
      </c>
      <c r="E54" s="13">
        <f>DATE(2016,4,18)</f>
        <v>42478</v>
      </c>
      <c r="F54">
        <v>81.099999999999994</v>
      </c>
      <c r="G54">
        <v>148.19999999999999</v>
      </c>
      <c r="H54">
        <v>686</v>
      </c>
      <c r="I54">
        <v>660</v>
      </c>
      <c r="J54">
        <v>166</v>
      </c>
      <c r="K54">
        <v>29</v>
      </c>
      <c r="L54">
        <v>39</v>
      </c>
      <c r="M54">
        <v>3.4</v>
      </c>
      <c r="N54">
        <v>5.5</v>
      </c>
      <c r="O54">
        <v>267</v>
      </c>
      <c r="P54">
        <v>21</v>
      </c>
      <c r="Q54">
        <v>945</v>
      </c>
      <c r="R54">
        <v>-13</v>
      </c>
      <c r="S54">
        <v>249</v>
      </c>
      <c r="T54">
        <v>455</v>
      </c>
      <c r="U54">
        <v>1.84</v>
      </c>
    </row>
    <row r="55" spans="1:21" x14ac:dyDescent="0.25">
      <c r="A55">
        <v>33.638288000000003</v>
      </c>
      <c r="B55">
        <v>72.989778000000001</v>
      </c>
      <c r="C55">
        <v>2</v>
      </c>
      <c r="D55" t="s">
        <v>43</v>
      </c>
      <c r="E55" s="9">
        <f t="shared" ref="E55:E58" si="9">DATE(2016,4,18)</f>
        <v>42478</v>
      </c>
      <c r="F55">
        <v>28.33</v>
      </c>
      <c r="G55">
        <v>53.09</v>
      </c>
      <c r="H55">
        <v>686</v>
      </c>
      <c r="I55">
        <v>660</v>
      </c>
      <c r="J55">
        <v>166</v>
      </c>
      <c r="K55">
        <v>29</v>
      </c>
      <c r="L55">
        <v>39</v>
      </c>
      <c r="M55">
        <v>3.4</v>
      </c>
      <c r="N55">
        <v>5.5</v>
      </c>
      <c r="O55">
        <v>267</v>
      </c>
      <c r="P55">
        <v>21</v>
      </c>
      <c r="Q55">
        <v>945</v>
      </c>
      <c r="R55">
        <v>-13</v>
      </c>
      <c r="S55">
        <v>87</v>
      </c>
      <c r="T55">
        <v>163</v>
      </c>
      <c r="U55">
        <v>1.84</v>
      </c>
    </row>
    <row r="56" spans="1:21" x14ac:dyDescent="0.25">
      <c r="A56">
        <v>33.647927000000003</v>
      </c>
      <c r="B56">
        <v>72.990663999999995</v>
      </c>
      <c r="C56">
        <v>4</v>
      </c>
      <c r="D56" t="s">
        <v>43</v>
      </c>
      <c r="E56" s="9">
        <f t="shared" si="9"/>
        <v>42478</v>
      </c>
      <c r="F56">
        <v>2</v>
      </c>
      <c r="G56">
        <v>5.53</v>
      </c>
      <c r="H56">
        <v>686</v>
      </c>
      <c r="I56">
        <v>660</v>
      </c>
      <c r="J56">
        <v>166</v>
      </c>
      <c r="K56">
        <v>29</v>
      </c>
      <c r="L56">
        <v>39</v>
      </c>
      <c r="M56">
        <v>3.4</v>
      </c>
      <c r="N56">
        <v>5.5</v>
      </c>
      <c r="O56">
        <v>267</v>
      </c>
      <c r="P56">
        <v>21</v>
      </c>
      <c r="Q56">
        <v>945</v>
      </c>
      <c r="R56">
        <v>-13</v>
      </c>
      <c r="S56">
        <v>6</v>
      </c>
      <c r="T56">
        <v>17</v>
      </c>
      <c r="U56">
        <v>1.84</v>
      </c>
    </row>
    <row r="57" spans="1:21" x14ac:dyDescent="0.25">
      <c r="A57">
        <v>33.645104000000003</v>
      </c>
      <c r="B57">
        <v>72.988082000000006</v>
      </c>
      <c r="C57">
        <v>5</v>
      </c>
      <c r="D57" t="s">
        <v>37</v>
      </c>
      <c r="E57" s="9">
        <f t="shared" si="9"/>
        <v>42478</v>
      </c>
      <c r="F57">
        <v>29.64</v>
      </c>
      <c r="G57">
        <v>44.62</v>
      </c>
      <c r="H57">
        <v>686</v>
      </c>
      <c r="I57">
        <v>660</v>
      </c>
      <c r="J57">
        <v>166</v>
      </c>
      <c r="K57">
        <v>29</v>
      </c>
      <c r="L57">
        <v>39</v>
      </c>
      <c r="M57">
        <v>3.4</v>
      </c>
      <c r="N57">
        <v>5.5</v>
      </c>
      <c r="O57">
        <v>267</v>
      </c>
      <c r="P57">
        <v>21</v>
      </c>
      <c r="Q57">
        <v>945</v>
      </c>
      <c r="R57">
        <v>-13</v>
      </c>
      <c r="S57">
        <v>91</v>
      </c>
      <c r="T57">
        <v>137</v>
      </c>
      <c r="U57">
        <v>1.84</v>
      </c>
    </row>
    <row r="58" spans="1:21" x14ac:dyDescent="0.25">
      <c r="A58">
        <v>33.644953000000001</v>
      </c>
      <c r="B58">
        <v>72.988044000000002</v>
      </c>
      <c r="C58">
        <v>6</v>
      </c>
      <c r="D58" t="s">
        <v>44</v>
      </c>
      <c r="E58" s="9">
        <f t="shared" si="9"/>
        <v>42478</v>
      </c>
      <c r="F58">
        <v>9.44</v>
      </c>
      <c r="G58">
        <v>62.54</v>
      </c>
      <c r="H58">
        <v>686</v>
      </c>
      <c r="I58">
        <v>660</v>
      </c>
      <c r="J58">
        <v>166</v>
      </c>
      <c r="K58">
        <v>29</v>
      </c>
      <c r="L58">
        <v>39</v>
      </c>
      <c r="M58">
        <v>3.4</v>
      </c>
      <c r="N58">
        <v>5.5</v>
      </c>
      <c r="O58">
        <v>267</v>
      </c>
      <c r="P58">
        <v>21</v>
      </c>
      <c r="Q58">
        <v>945</v>
      </c>
      <c r="R58">
        <v>-13</v>
      </c>
      <c r="S58">
        <v>29</v>
      </c>
      <c r="T58">
        <v>192</v>
      </c>
      <c r="U58">
        <v>1.84</v>
      </c>
    </row>
    <row r="59" spans="1:21" x14ac:dyDescent="0.25">
      <c r="A59">
        <v>33.645963999999999</v>
      </c>
      <c r="B59">
        <v>72.980853999999994</v>
      </c>
      <c r="C59">
        <v>1</v>
      </c>
      <c r="D59" t="s">
        <v>45</v>
      </c>
      <c r="E59" s="13">
        <f>DATE(2016,4,19)</f>
        <v>42479</v>
      </c>
      <c r="F59">
        <v>12</v>
      </c>
      <c r="G59">
        <v>107</v>
      </c>
      <c r="H59">
        <v>328</v>
      </c>
      <c r="I59">
        <v>261</v>
      </c>
      <c r="J59">
        <v>177</v>
      </c>
      <c r="K59">
        <v>26.3</v>
      </c>
      <c r="L59">
        <v>35</v>
      </c>
      <c r="M59">
        <v>3.2</v>
      </c>
      <c r="N59">
        <v>6.2</v>
      </c>
      <c r="O59">
        <v>103</v>
      </c>
      <c r="P59">
        <v>28.2</v>
      </c>
      <c r="Q59">
        <v>947</v>
      </c>
      <c r="R59">
        <v>-0.4</v>
      </c>
      <c r="S59">
        <v>15</v>
      </c>
      <c r="T59">
        <v>131</v>
      </c>
      <c r="U59">
        <v>1.84</v>
      </c>
    </row>
    <row r="60" spans="1:21" x14ac:dyDescent="0.25">
      <c r="A60">
        <v>33.638288000000003</v>
      </c>
      <c r="B60">
        <v>72.989778000000001</v>
      </c>
      <c r="C60">
        <v>2</v>
      </c>
      <c r="D60" t="s">
        <v>45</v>
      </c>
      <c r="E60" s="9">
        <f t="shared" ref="E60:E63" si="10">DATE(2016,4,19)</f>
        <v>42479</v>
      </c>
      <c r="F60">
        <v>68.03</v>
      </c>
      <c r="G60">
        <v>147.54</v>
      </c>
      <c r="H60">
        <v>328</v>
      </c>
      <c r="I60">
        <v>261</v>
      </c>
      <c r="J60">
        <v>177</v>
      </c>
      <c r="K60">
        <v>26.3</v>
      </c>
      <c r="L60">
        <v>35</v>
      </c>
      <c r="M60">
        <v>3.2</v>
      </c>
      <c r="N60">
        <v>6.2</v>
      </c>
      <c r="O60">
        <v>103</v>
      </c>
      <c r="P60">
        <v>28.2</v>
      </c>
      <c r="Q60">
        <v>947</v>
      </c>
      <c r="R60">
        <v>-0.4</v>
      </c>
      <c r="S60">
        <v>83</v>
      </c>
      <c r="T60">
        <v>180</v>
      </c>
      <c r="U60">
        <v>1.84</v>
      </c>
    </row>
    <row r="61" spans="1:21" x14ac:dyDescent="0.25">
      <c r="A61">
        <v>33.643591999999998</v>
      </c>
      <c r="B61">
        <v>72.997788</v>
      </c>
      <c r="C61">
        <v>3</v>
      </c>
      <c r="D61" t="s">
        <v>45</v>
      </c>
      <c r="E61" s="9">
        <f t="shared" si="10"/>
        <v>42479</v>
      </c>
      <c r="F61">
        <v>315.57</v>
      </c>
      <c r="G61">
        <v>458.19</v>
      </c>
      <c r="H61">
        <v>328</v>
      </c>
      <c r="I61">
        <v>261</v>
      </c>
      <c r="J61">
        <v>177</v>
      </c>
      <c r="K61">
        <v>26.3</v>
      </c>
      <c r="L61">
        <v>35</v>
      </c>
      <c r="M61">
        <v>3.2</v>
      </c>
      <c r="N61">
        <v>6.2</v>
      </c>
      <c r="O61">
        <v>103</v>
      </c>
      <c r="P61">
        <v>28.2</v>
      </c>
      <c r="Q61">
        <v>947</v>
      </c>
      <c r="R61">
        <v>-0.4</v>
      </c>
      <c r="S61">
        <v>385</v>
      </c>
      <c r="T61">
        <v>559</v>
      </c>
      <c r="U61">
        <v>1.84</v>
      </c>
    </row>
    <row r="62" spans="1:21" x14ac:dyDescent="0.25">
      <c r="A62">
        <v>33.645104000000003</v>
      </c>
      <c r="B62">
        <v>72.988082000000006</v>
      </c>
      <c r="C62">
        <v>5</v>
      </c>
      <c r="D62" t="s">
        <v>37</v>
      </c>
      <c r="E62" s="9">
        <f t="shared" si="10"/>
        <v>42479</v>
      </c>
      <c r="F62">
        <v>28.68</v>
      </c>
      <c r="G62">
        <v>201.63</v>
      </c>
      <c r="H62">
        <v>328</v>
      </c>
      <c r="I62">
        <v>261</v>
      </c>
      <c r="J62">
        <v>177</v>
      </c>
      <c r="K62">
        <v>26.3</v>
      </c>
      <c r="L62">
        <v>35</v>
      </c>
      <c r="M62">
        <v>3.2</v>
      </c>
      <c r="N62">
        <v>6.2</v>
      </c>
      <c r="O62">
        <v>103</v>
      </c>
      <c r="P62">
        <v>28.2</v>
      </c>
      <c r="Q62">
        <v>947</v>
      </c>
      <c r="R62">
        <v>-0.4</v>
      </c>
      <c r="S62">
        <v>35</v>
      </c>
      <c r="T62">
        <v>246</v>
      </c>
      <c r="U62">
        <v>1.84</v>
      </c>
    </row>
    <row r="63" spans="1:21" x14ac:dyDescent="0.25">
      <c r="A63">
        <v>33.644953000000001</v>
      </c>
      <c r="B63">
        <v>72.988044000000002</v>
      </c>
      <c r="C63">
        <v>6</v>
      </c>
      <c r="D63" t="s">
        <v>46</v>
      </c>
      <c r="E63" s="9">
        <f t="shared" si="10"/>
        <v>42479</v>
      </c>
      <c r="F63">
        <v>22.82</v>
      </c>
      <c r="G63">
        <v>67.39</v>
      </c>
      <c r="H63">
        <v>328</v>
      </c>
      <c r="I63">
        <v>261</v>
      </c>
      <c r="J63">
        <v>177</v>
      </c>
      <c r="K63">
        <v>26.3</v>
      </c>
      <c r="L63">
        <v>35</v>
      </c>
      <c r="M63">
        <v>3.2</v>
      </c>
      <c r="N63">
        <v>6.2</v>
      </c>
      <c r="O63">
        <v>103</v>
      </c>
      <c r="P63">
        <v>28.2</v>
      </c>
      <c r="Q63">
        <v>947</v>
      </c>
      <c r="R63">
        <v>-0.4</v>
      </c>
      <c r="S63">
        <v>42</v>
      </c>
      <c r="T63">
        <v>124</v>
      </c>
      <c r="U63">
        <v>1.84</v>
      </c>
    </row>
    <row r="64" spans="1:21" x14ac:dyDescent="0.25">
      <c r="A64">
        <v>33.645963999999999</v>
      </c>
      <c r="B64">
        <v>72.980853999999994</v>
      </c>
      <c r="C64">
        <v>1</v>
      </c>
      <c r="D64" t="s">
        <v>47</v>
      </c>
      <c r="E64" s="13">
        <f>DATE(2016,4,20)</f>
        <v>42480</v>
      </c>
      <c r="F64">
        <v>52.44</v>
      </c>
      <c r="G64">
        <v>128.66</v>
      </c>
      <c r="H64">
        <v>725</v>
      </c>
      <c r="I64">
        <v>788</v>
      </c>
      <c r="J64">
        <v>124</v>
      </c>
      <c r="K64">
        <v>28.7</v>
      </c>
      <c r="L64">
        <v>35</v>
      </c>
      <c r="M64">
        <v>5.0999999999999996</v>
      </c>
      <c r="N64">
        <v>8</v>
      </c>
      <c r="O64">
        <v>288</v>
      </c>
      <c r="P64">
        <v>20.8</v>
      </c>
      <c r="Q64">
        <v>947</v>
      </c>
      <c r="R64">
        <v>-13.1</v>
      </c>
      <c r="S64">
        <v>161</v>
      </c>
      <c r="T64">
        <v>395</v>
      </c>
      <c r="U64">
        <v>1.84</v>
      </c>
    </row>
    <row r="65" spans="1:21" x14ac:dyDescent="0.25">
      <c r="A65">
        <v>33.638288000000003</v>
      </c>
      <c r="B65">
        <v>72.989778000000001</v>
      </c>
      <c r="C65">
        <v>2</v>
      </c>
      <c r="D65" t="s">
        <v>47</v>
      </c>
      <c r="E65" s="9">
        <f t="shared" ref="E65:E68" si="11">DATE(2016,4,20)</f>
        <v>42480</v>
      </c>
      <c r="F65">
        <v>105.53</v>
      </c>
      <c r="G65">
        <v>187.94</v>
      </c>
      <c r="H65">
        <v>725</v>
      </c>
      <c r="I65">
        <v>788</v>
      </c>
      <c r="J65">
        <v>124</v>
      </c>
      <c r="K65">
        <v>28.7</v>
      </c>
      <c r="L65">
        <v>35</v>
      </c>
      <c r="M65">
        <v>5.0999999999999996</v>
      </c>
      <c r="N65">
        <v>8</v>
      </c>
      <c r="O65">
        <v>288</v>
      </c>
      <c r="P65">
        <v>20.8</v>
      </c>
      <c r="Q65">
        <v>947</v>
      </c>
      <c r="R65">
        <v>-13.1</v>
      </c>
      <c r="S65">
        <v>324</v>
      </c>
      <c r="T65">
        <v>577</v>
      </c>
      <c r="U65">
        <v>1.84</v>
      </c>
    </row>
    <row r="66" spans="1:21" x14ac:dyDescent="0.25">
      <c r="A66">
        <v>33.643591999999998</v>
      </c>
      <c r="B66">
        <v>72.997788</v>
      </c>
      <c r="C66">
        <v>3</v>
      </c>
      <c r="D66" t="s">
        <v>47</v>
      </c>
      <c r="E66" s="9">
        <f t="shared" si="11"/>
        <v>42480</v>
      </c>
      <c r="F66">
        <v>61.56</v>
      </c>
      <c r="G66">
        <v>87.94</v>
      </c>
      <c r="H66">
        <v>725</v>
      </c>
      <c r="I66">
        <v>788</v>
      </c>
      <c r="J66">
        <v>124</v>
      </c>
      <c r="K66">
        <v>28.7</v>
      </c>
      <c r="L66">
        <v>35</v>
      </c>
      <c r="M66">
        <v>5.0999999999999996</v>
      </c>
      <c r="N66">
        <v>8</v>
      </c>
      <c r="O66">
        <v>288</v>
      </c>
      <c r="P66">
        <v>20.8</v>
      </c>
      <c r="Q66">
        <v>947</v>
      </c>
      <c r="R66">
        <v>-13.1</v>
      </c>
      <c r="S66">
        <v>189</v>
      </c>
      <c r="T66">
        <v>270</v>
      </c>
      <c r="U66">
        <v>1.84</v>
      </c>
    </row>
    <row r="67" spans="1:21" x14ac:dyDescent="0.25">
      <c r="A67">
        <v>33.645104000000003</v>
      </c>
      <c r="B67">
        <v>72.988082000000006</v>
      </c>
      <c r="C67">
        <v>5</v>
      </c>
      <c r="D67" t="s">
        <v>47</v>
      </c>
      <c r="E67" s="9">
        <f t="shared" si="11"/>
        <v>42480</v>
      </c>
      <c r="F67">
        <v>2.93</v>
      </c>
      <c r="G67">
        <v>23.45</v>
      </c>
      <c r="H67">
        <v>725</v>
      </c>
      <c r="I67">
        <v>788</v>
      </c>
      <c r="J67">
        <v>124</v>
      </c>
      <c r="K67">
        <v>28.7</v>
      </c>
      <c r="L67">
        <v>35</v>
      </c>
      <c r="M67">
        <v>5.0999999999999996</v>
      </c>
      <c r="N67">
        <v>8</v>
      </c>
      <c r="O67">
        <v>288</v>
      </c>
      <c r="P67">
        <v>20.8</v>
      </c>
      <c r="Q67">
        <v>947</v>
      </c>
      <c r="R67">
        <v>-13.1</v>
      </c>
      <c r="S67">
        <v>9</v>
      </c>
      <c r="T67">
        <v>72</v>
      </c>
      <c r="U67">
        <v>1.84</v>
      </c>
    </row>
    <row r="68" spans="1:21" x14ac:dyDescent="0.25">
      <c r="A68">
        <v>33.644953000000001</v>
      </c>
      <c r="B68">
        <v>72.988044000000002</v>
      </c>
      <c r="C68">
        <v>6</v>
      </c>
      <c r="D68" t="s">
        <v>48</v>
      </c>
      <c r="E68" s="9">
        <f t="shared" si="11"/>
        <v>42480</v>
      </c>
      <c r="F68">
        <v>22.95</v>
      </c>
      <c r="G68">
        <v>207.37</v>
      </c>
      <c r="H68">
        <v>725</v>
      </c>
      <c r="I68">
        <v>788</v>
      </c>
      <c r="J68">
        <v>124</v>
      </c>
      <c r="K68">
        <v>28.7</v>
      </c>
      <c r="L68">
        <v>35</v>
      </c>
      <c r="M68">
        <v>5.0999999999999996</v>
      </c>
      <c r="N68">
        <v>8</v>
      </c>
      <c r="O68">
        <v>288</v>
      </c>
      <c r="P68">
        <v>20.8</v>
      </c>
      <c r="Q68">
        <v>947</v>
      </c>
      <c r="R68">
        <v>-13.1</v>
      </c>
      <c r="S68">
        <v>28</v>
      </c>
      <c r="T68">
        <v>253</v>
      </c>
      <c r="U68">
        <v>1.84</v>
      </c>
    </row>
  </sheetData>
  <mergeCells count="3">
    <mergeCell ref="F1:G1"/>
    <mergeCell ref="H1:R1"/>
    <mergeCell ref="F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workbookViewId="0">
      <selection activeCell="C22" sqref="C22"/>
    </sheetView>
  </sheetViews>
  <sheetFormatPr defaultRowHeight="15" x14ac:dyDescent="0.25"/>
  <cols>
    <col min="1" max="1" width="11.140625" customWidth="1"/>
    <col min="2" max="2" width="10.28515625" customWidth="1"/>
    <col min="3" max="3" width="12.28515625" customWidth="1"/>
    <col min="4" max="4" width="16.42578125" customWidth="1"/>
    <col min="5" max="5" width="11" customWidth="1"/>
    <col min="6" max="6" width="14.7109375" customWidth="1"/>
    <col min="7" max="7" width="9.140625" customWidth="1"/>
    <col min="8" max="8" width="12.42578125" customWidth="1"/>
  </cols>
  <sheetData>
    <row r="1" spans="1:20" ht="15.75" x14ac:dyDescent="0.25">
      <c r="A1" s="54" t="s">
        <v>64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20" x14ac:dyDescent="0.25">
      <c r="A2" s="15" t="s">
        <v>49</v>
      </c>
      <c r="B2" s="15" t="s">
        <v>50</v>
      </c>
      <c r="C2" s="15" t="s">
        <v>0</v>
      </c>
      <c r="D2" s="16" t="s">
        <v>63</v>
      </c>
      <c r="E2" s="15" t="s">
        <v>6</v>
      </c>
      <c r="F2" s="10" t="s">
        <v>1</v>
      </c>
      <c r="G2" s="10"/>
      <c r="H2" s="51" t="s">
        <v>5</v>
      </c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20" ht="15.75" customHeight="1" x14ac:dyDescent="0.3">
      <c r="A3" s="12"/>
      <c r="B3" s="12"/>
      <c r="C3" s="1"/>
      <c r="D3" s="1"/>
      <c r="E3" s="1"/>
      <c r="F3" s="18"/>
      <c r="G3" s="19"/>
      <c r="H3" s="38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20" x14ac:dyDescent="0.25">
      <c r="A4" s="12"/>
      <c r="B4" s="12"/>
      <c r="C4" s="1"/>
      <c r="D4" s="1"/>
      <c r="E4" s="1"/>
      <c r="F4" s="17" t="s">
        <v>3</v>
      </c>
      <c r="G4" s="17" t="s">
        <v>4</v>
      </c>
      <c r="H4" s="39" t="s">
        <v>18</v>
      </c>
      <c r="I4" s="4" t="s">
        <v>18</v>
      </c>
      <c r="J4" s="5" t="s">
        <v>18</v>
      </c>
      <c r="K4" s="4" t="s">
        <v>19</v>
      </c>
      <c r="L4" s="4" t="s">
        <v>20</v>
      </c>
      <c r="M4" s="6" t="s">
        <v>21</v>
      </c>
      <c r="N4" s="6" t="s">
        <v>21</v>
      </c>
      <c r="O4" s="6" t="s">
        <v>22</v>
      </c>
      <c r="P4" s="6" t="s">
        <v>22</v>
      </c>
      <c r="Q4" s="6" t="s">
        <v>23</v>
      </c>
      <c r="R4" s="7" t="s">
        <v>18</v>
      </c>
    </row>
    <row r="5" spans="1:20" x14ac:dyDescent="0.25">
      <c r="A5" s="12"/>
      <c r="B5" s="12"/>
      <c r="C5" s="1"/>
      <c r="D5" s="1"/>
      <c r="E5" s="1"/>
      <c r="F5" s="18" t="s">
        <v>2</v>
      </c>
      <c r="G5" s="18" t="s">
        <v>2</v>
      </c>
      <c r="H5" s="40" t="s">
        <v>24</v>
      </c>
      <c r="I5" s="8" t="s">
        <v>24</v>
      </c>
      <c r="J5" s="8" t="s">
        <v>24</v>
      </c>
      <c r="K5" s="8" t="s">
        <v>24</v>
      </c>
      <c r="L5" s="8" t="s">
        <v>24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24</v>
      </c>
      <c r="R5" s="8" t="s">
        <v>24</v>
      </c>
    </row>
    <row r="6" spans="1:20" x14ac:dyDescent="0.25">
      <c r="A6" t="s">
        <v>51</v>
      </c>
      <c r="B6" t="s">
        <v>52</v>
      </c>
      <c r="C6">
        <v>1</v>
      </c>
      <c r="D6" s="11" t="s">
        <v>29</v>
      </c>
      <c r="E6" s="14">
        <f>DATE(2016,4,4)</f>
        <v>42464</v>
      </c>
      <c r="F6">
        <v>19.22</v>
      </c>
      <c r="G6">
        <v>215.96</v>
      </c>
      <c r="H6">
        <v>814</v>
      </c>
      <c r="I6">
        <v>772</v>
      </c>
      <c r="J6">
        <v>187</v>
      </c>
      <c r="K6">
        <v>25</v>
      </c>
      <c r="L6">
        <v>50</v>
      </c>
      <c r="M6">
        <v>4.7</v>
      </c>
      <c r="N6">
        <v>7.3</v>
      </c>
      <c r="O6">
        <v>270</v>
      </c>
      <c r="P6">
        <v>18</v>
      </c>
      <c r="Q6">
        <v>945</v>
      </c>
      <c r="R6">
        <v>-17.2</v>
      </c>
      <c r="T6">
        <v>59</v>
      </c>
    </row>
    <row r="7" spans="1:20" x14ac:dyDescent="0.25">
      <c r="D7" s="11" t="s">
        <v>28</v>
      </c>
      <c r="E7" s="14">
        <f>DATE(2016,4,5)</f>
        <v>42465</v>
      </c>
      <c r="F7">
        <v>154.34</v>
      </c>
      <c r="G7">
        <v>40.76</v>
      </c>
      <c r="H7">
        <v>726</v>
      </c>
      <c r="I7">
        <v>637</v>
      </c>
      <c r="J7">
        <v>223</v>
      </c>
      <c r="K7">
        <v>28.1</v>
      </c>
      <c r="L7">
        <v>33</v>
      </c>
      <c r="M7">
        <v>1.7</v>
      </c>
      <c r="N7">
        <v>3.5</v>
      </c>
      <c r="O7">
        <v>124</v>
      </c>
      <c r="P7">
        <v>28.8</v>
      </c>
      <c r="Q7">
        <v>946</v>
      </c>
      <c r="R7">
        <v>-6.8</v>
      </c>
      <c r="T7" s="20">
        <v>284</v>
      </c>
    </row>
    <row r="8" spans="1:20" x14ac:dyDescent="0.25">
      <c r="D8" s="11" t="s">
        <v>31</v>
      </c>
      <c r="E8" s="14">
        <f>DATE(2016,4,6)</f>
        <v>42466</v>
      </c>
      <c r="F8">
        <v>79.89</v>
      </c>
      <c r="G8">
        <v>78.260000000000005</v>
      </c>
      <c r="H8">
        <v>325</v>
      </c>
      <c r="I8">
        <v>47</v>
      </c>
      <c r="J8">
        <v>297</v>
      </c>
      <c r="K8">
        <v>21.9</v>
      </c>
      <c r="L8">
        <v>49</v>
      </c>
      <c r="M8">
        <v>3.6</v>
      </c>
      <c r="N8">
        <v>5.7</v>
      </c>
      <c r="O8">
        <v>245</v>
      </c>
      <c r="P8">
        <v>17.3</v>
      </c>
      <c r="Q8">
        <v>946</v>
      </c>
      <c r="R8">
        <v>-1.2</v>
      </c>
      <c r="T8">
        <v>147</v>
      </c>
    </row>
    <row r="9" spans="1:20" x14ac:dyDescent="0.25">
      <c r="D9" s="11" t="s">
        <v>33</v>
      </c>
      <c r="E9" s="14">
        <f>DATE(2016,4,7)</f>
        <v>42467</v>
      </c>
      <c r="F9">
        <v>23.91</v>
      </c>
      <c r="G9">
        <v>825</v>
      </c>
      <c r="H9">
        <v>633</v>
      </c>
      <c r="I9">
        <v>606</v>
      </c>
      <c r="J9">
        <v>168</v>
      </c>
      <c r="K9">
        <v>25.7</v>
      </c>
      <c r="L9">
        <v>38</v>
      </c>
      <c r="M9">
        <v>3</v>
      </c>
      <c r="N9">
        <v>5.8</v>
      </c>
      <c r="O9">
        <v>207</v>
      </c>
      <c r="P9">
        <v>28.2</v>
      </c>
      <c r="Q9">
        <v>946</v>
      </c>
      <c r="R9">
        <v>-7.9</v>
      </c>
      <c r="T9">
        <v>422</v>
      </c>
    </row>
    <row r="10" spans="1:20" x14ac:dyDescent="0.25">
      <c r="D10" t="s">
        <v>35</v>
      </c>
      <c r="E10" s="14">
        <f>DATE(2016,4,8)</f>
        <v>42468</v>
      </c>
      <c r="F10">
        <v>339.67</v>
      </c>
      <c r="G10">
        <v>242.93</v>
      </c>
      <c r="H10">
        <v>648</v>
      </c>
      <c r="I10">
        <v>374</v>
      </c>
      <c r="J10">
        <v>328</v>
      </c>
      <c r="K10">
        <v>27.7</v>
      </c>
      <c r="L10">
        <v>32</v>
      </c>
      <c r="M10">
        <v>1.8</v>
      </c>
      <c r="N10">
        <v>3.6</v>
      </c>
      <c r="O10">
        <v>153</v>
      </c>
      <c r="P10">
        <v>31</v>
      </c>
      <c r="Q10">
        <v>947</v>
      </c>
      <c r="R10">
        <v>-8.6</v>
      </c>
      <c r="T10" s="20">
        <v>625</v>
      </c>
    </row>
    <row r="11" spans="1:20" x14ac:dyDescent="0.25">
      <c r="D11" t="s">
        <v>36</v>
      </c>
      <c r="E11" s="14">
        <f>DATE(2016,4,12)</f>
        <v>42472</v>
      </c>
      <c r="F11">
        <v>65.790000000000006</v>
      </c>
      <c r="G11">
        <v>193.48</v>
      </c>
      <c r="H11">
        <v>669</v>
      </c>
      <c r="I11">
        <v>705</v>
      </c>
      <c r="J11">
        <v>105</v>
      </c>
      <c r="K11">
        <v>26</v>
      </c>
      <c r="L11">
        <v>39</v>
      </c>
      <c r="M11">
        <v>4</v>
      </c>
      <c r="N11">
        <v>7</v>
      </c>
      <c r="O11">
        <v>285</v>
      </c>
      <c r="P11">
        <v>21</v>
      </c>
      <c r="Q11">
        <v>944</v>
      </c>
      <c r="R11">
        <v>-11</v>
      </c>
      <c r="T11">
        <v>202</v>
      </c>
    </row>
    <row r="12" spans="1:20" x14ac:dyDescent="0.25">
      <c r="D12" t="s">
        <v>38</v>
      </c>
      <c r="E12" s="14">
        <f>DATE(2016,4,13)</f>
        <v>42473</v>
      </c>
      <c r="F12">
        <v>76.540000000000006</v>
      </c>
      <c r="G12">
        <v>212.05</v>
      </c>
      <c r="H12">
        <v>882</v>
      </c>
      <c r="I12">
        <v>853</v>
      </c>
      <c r="J12">
        <v>144</v>
      </c>
      <c r="K12">
        <v>28</v>
      </c>
      <c r="L12">
        <v>37</v>
      </c>
      <c r="M12">
        <v>4.7</v>
      </c>
      <c r="N12">
        <v>7.8</v>
      </c>
      <c r="O12">
        <v>286</v>
      </c>
      <c r="P12">
        <v>25</v>
      </c>
      <c r="Q12">
        <v>942</v>
      </c>
      <c r="R12">
        <v>-17</v>
      </c>
      <c r="T12">
        <v>235</v>
      </c>
    </row>
    <row r="13" spans="1:20" x14ac:dyDescent="0.25">
      <c r="D13" t="s">
        <v>39</v>
      </c>
      <c r="E13" s="14">
        <f>DATE(2016,4,14)</f>
        <v>42474</v>
      </c>
      <c r="F13">
        <v>34.520000000000003</v>
      </c>
      <c r="G13">
        <v>174.59</v>
      </c>
      <c r="H13">
        <v>658</v>
      </c>
      <c r="I13">
        <v>613</v>
      </c>
      <c r="J13">
        <v>176</v>
      </c>
      <c r="K13">
        <v>31</v>
      </c>
      <c r="L13">
        <v>24</v>
      </c>
      <c r="M13">
        <v>3.3</v>
      </c>
      <c r="N13">
        <v>5.3</v>
      </c>
      <c r="O13">
        <v>285</v>
      </c>
      <c r="P13">
        <v>23</v>
      </c>
      <c r="Q13">
        <v>942</v>
      </c>
      <c r="R13">
        <v>-15</v>
      </c>
      <c r="T13">
        <v>106</v>
      </c>
    </row>
    <row r="14" spans="1:20" x14ac:dyDescent="0.25">
      <c r="D14" s="11" t="s">
        <v>38</v>
      </c>
      <c r="E14" s="14">
        <f>DATE(2016,4,15)</f>
        <v>42475</v>
      </c>
      <c r="F14">
        <v>32.57</v>
      </c>
      <c r="G14">
        <v>101.62</v>
      </c>
      <c r="H14">
        <v>679</v>
      </c>
      <c r="I14">
        <v>530</v>
      </c>
      <c r="J14">
        <v>229</v>
      </c>
      <c r="K14">
        <v>32</v>
      </c>
      <c r="L14">
        <v>24</v>
      </c>
      <c r="M14">
        <v>2.9</v>
      </c>
      <c r="N14">
        <v>4.8</v>
      </c>
      <c r="O14">
        <v>261</v>
      </c>
      <c r="P14">
        <v>21</v>
      </c>
      <c r="Q14">
        <v>943</v>
      </c>
      <c r="R14">
        <v>-17</v>
      </c>
      <c r="T14">
        <v>100</v>
      </c>
    </row>
    <row r="15" spans="1:20" x14ac:dyDescent="0.25">
      <c r="D15" t="s">
        <v>43</v>
      </c>
      <c r="E15" s="14">
        <f>DATE(2016,4,18)</f>
        <v>42478</v>
      </c>
      <c r="F15">
        <v>81.099999999999994</v>
      </c>
      <c r="G15">
        <v>148.19999999999999</v>
      </c>
      <c r="H15">
        <v>686</v>
      </c>
      <c r="I15">
        <v>660</v>
      </c>
      <c r="J15">
        <v>166</v>
      </c>
      <c r="K15">
        <v>29</v>
      </c>
      <c r="L15">
        <v>39</v>
      </c>
      <c r="M15">
        <v>3.4</v>
      </c>
      <c r="N15">
        <v>5.5</v>
      </c>
      <c r="O15">
        <v>267</v>
      </c>
      <c r="P15">
        <v>21</v>
      </c>
      <c r="Q15">
        <v>945</v>
      </c>
      <c r="R15">
        <v>-13</v>
      </c>
      <c r="T15" s="20">
        <v>249</v>
      </c>
    </row>
    <row r="16" spans="1:20" x14ac:dyDescent="0.25">
      <c r="D16" t="s">
        <v>45</v>
      </c>
      <c r="E16" s="14">
        <f>DATE(2016,4,19)</f>
        <v>42479</v>
      </c>
      <c r="F16">
        <v>12</v>
      </c>
      <c r="G16">
        <v>107</v>
      </c>
      <c r="H16">
        <v>328</v>
      </c>
      <c r="I16">
        <v>261</v>
      </c>
      <c r="J16">
        <v>177</v>
      </c>
      <c r="K16">
        <v>26.3</v>
      </c>
      <c r="L16">
        <v>35</v>
      </c>
      <c r="M16">
        <v>3.2</v>
      </c>
      <c r="N16">
        <v>6.2</v>
      </c>
      <c r="O16">
        <v>103</v>
      </c>
      <c r="P16">
        <v>28.2</v>
      </c>
      <c r="Q16">
        <v>947</v>
      </c>
      <c r="R16">
        <v>-0.4</v>
      </c>
      <c r="T16">
        <v>15</v>
      </c>
    </row>
    <row r="17" spans="1:20" x14ac:dyDescent="0.25">
      <c r="D17" t="s">
        <v>47</v>
      </c>
      <c r="E17" s="14">
        <f>DATE(2016,4,20)</f>
        <v>42480</v>
      </c>
      <c r="F17">
        <v>52.44</v>
      </c>
      <c r="G17">
        <v>128.66</v>
      </c>
      <c r="H17">
        <v>725</v>
      </c>
      <c r="I17">
        <v>788</v>
      </c>
      <c r="J17">
        <v>124</v>
      </c>
      <c r="K17">
        <v>28.7</v>
      </c>
      <c r="L17">
        <v>35</v>
      </c>
      <c r="M17">
        <v>5.0999999999999996</v>
      </c>
      <c r="N17">
        <v>8</v>
      </c>
      <c r="O17">
        <v>288</v>
      </c>
      <c r="P17">
        <v>20.8</v>
      </c>
      <c r="Q17">
        <v>947</v>
      </c>
      <c r="R17">
        <v>-13.1</v>
      </c>
      <c r="T17">
        <v>161</v>
      </c>
    </row>
    <row r="20" spans="1:20" x14ac:dyDescent="0.25">
      <c r="A20" s="45"/>
      <c r="C20">
        <f>CORREL(G6:G17,M6:M17)</f>
        <v>-3.9229322902854025E-2</v>
      </c>
      <c r="D20" s="45"/>
      <c r="E20" s="41"/>
      <c r="F20" s="41"/>
    </row>
    <row r="21" spans="1:20" x14ac:dyDescent="0.25">
      <c r="A21" s="42"/>
      <c r="C21">
        <f>CORREL(G6:G17,N6:N17)</f>
        <v>7.5587681414983593E-2</v>
      </c>
      <c r="D21" s="42"/>
      <c r="E21" s="41"/>
      <c r="F21" s="41"/>
      <c r="H21" s="41"/>
      <c r="I21" s="41"/>
      <c r="J21" s="41"/>
      <c r="K21" s="41"/>
    </row>
    <row r="22" spans="1:20" x14ac:dyDescent="0.25">
      <c r="A22" s="41"/>
      <c r="C22">
        <f>CORREL(F6:F17,M6:M17)</f>
        <v>-0.581582256476602</v>
      </c>
      <c r="D22" s="41"/>
      <c r="E22" s="41"/>
      <c r="F22" s="14"/>
      <c r="H22" s="41"/>
      <c r="I22" s="42"/>
      <c r="J22" s="43"/>
      <c r="K22" s="44"/>
    </row>
    <row r="23" spans="1:20" x14ac:dyDescent="0.25">
      <c r="A23" s="41"/>
      <c r="D23" s="41"/>
      <c r="E23" s="48"/>
      <c r="F23" s="14"/>
      <c r="H23" s="41"/>
      <c r="I23" s="45"/>
      <c r="J23" s="45"/>
      <c r="K23" s="46"/>
    </row>
    <row r="24" spans="1:20" x14ac:dyDescent="0.25">
      <c r="A24" s="41"/>
      <c r="D24" s="41"/>
      <c r="E24" s="41"/>
      <c r="F24" s="14"/>
      <c r="H24" s="41"/>
      <c r="I24" s="42"/>
      <c r="J24" s="42"/>
      <c r="K24" s="47"/>
    </row>
    <row r="25" spans="1:20" x14ac:dyDescent="0.25">
      <c r="A25" s="41"/>
      <c r="D25" s="41"/>
      <c r="E25" s="41"/>
      <c r="F25" s="14"/>
      <c r="H25" s="14"/>
    </row>
    <row r="26" spans="1:20" x14ac:dyDescent="0.25">
      <c r="A26" s="41"/>
      <c r="D26" s="41"/>
      <c r="E26" s="48"/>
      <c r="F26" s="14"/>
      <c r="H26" s="14"/>
    </row>
    <row r="27" spans="1:20" x14ac:dyDescent="0.25">
      <c r="A27" s="41"/>
      <c r="D27" s="41"/>
      <c r="E27" s="41"/>
      <c r="F27" s="14"/>
      <c r="H27" s="14"/>
    </row>
    <row r="28" spans="1:20" x14ac:dyDescent="0.25">
      <c r="A28" s="41"/>
      <c r="D28" s="41"/>
      <c r="E28" s="41"/>
      <c r="F28" s="14"/>
      <c r="H28" s="14"/>
    </row>
    <row r="29" spans="1:20" x14ac:dyDescent="0.25">
      <c r="A29" s="41"/>
      <c r="D29" s="41"/>
      <c r="E29" s="41"/>
      <c r="F29" s="14"/>
      <c r="H29" s="14"/>
    </row>
    <row r="30" spans="1:20" x14ac:dyDescent="0.25">
      <c r="A30" s="41"/>
      <c r="D30" s="41"/>
      <c r="E30" s="41"/>
      <c r="F30" s="14"/>
      <c r="H30" s="14"/>
    </row>
    <row r="31" spans="1:20" x14ac:dyDescent="0.25">
      <c r="A31" s="41"/>
      <c r="D31" s="41"/>
      <c r="E31" s="48"/>
      <c r="F31" s="14"/>
      <c r="H31" s="14"/>
    </row>
    <row r="32" spans="1:20" x14ac:dyDescent="0.25">
      <c r="A32" s="41"/>
      <c r="D32" s="41"/>
      <c r="E32" s="41"/>
      <c r="F32" s="14"/>
      <c r="H32" s="14"/>
    </row>
    <row r="33" spans="1:8" x14ac:dyDescent="0.25">
      <c r="A33" s="41"/>
      <c r="D33" s="41"/>
      <c r="E33" s="41"/>
      <c r="F33" s="14"/>
      <c r="H33" s="14"/>
    </row>
    <row r="34" spans="1:8" x14ac:dyDescent="0.25">
      <c r="A34" s="41"/>
      <c r="B34" s="41"/>
      <c r="C34" s="41"/>
      <c r="D34" s="41"/>
      <c r="E34" s="41"/>
      <c r="F34" s="41"/>
      <c r="H34" s="14"/>
    </row>
    <row r="35" spans="1:8" x14ac:dyDescent="0.25">
      <c r="H35" s="14"/>
    </row>
    <row r="36" spans="1:8" x14ac:dyDescent="0.25">
      <c r="H36" s="14"/>
    </row>
  </sheetData>
  <mergeCells count="2">
    <mergeCell ref="H2:R2"/>
    <mergeCell ref="A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workbookViewId="0">
      <selection activeCell="I2" sqref="I2:I20"/>
    </sheetView>
  </sheetViews>
  <sheetFormatPr defaultRowHeight="15" x14ac:dyDescent="0.25"/>
  <sheetData>
    <row r="2" spans="2:14" ht="15.75" x14ac:dyDescent="0.25">
      <c r="B2" s="21" t="s">
        <v>65</v>
      </c>
      <c r="C2" s="22"/>
      <c r="D2" s="23" t="s">
        <v>7</v>
      </c>
      <c r="E2" s="24" t="s">
        <v>8</v>
      </c>
      <c r="F2" s="25" t="s">
        <v>9</v>
      </c>
      <c r="G2" s="24" t="s">
        <v>10</v>
      </c>
      <c r="H2" s="24" t="s">
        <v>11</v>
      </c>
      <c r="I2" s="24" t="s">
        <v>12</v>
      </c>
      <c r="J2" s="24" t="s">
        <v>13</v>
      </c>
      <c r="K2" s="24" t="s">
        <v>14</v>
      </c>
      <c r="L2" s="24" t="s">
        <v>15</v>
      </c>
      <c r="M2" s="24" t="s">
        <v>16</v>
      </c>
      <c r="N2" s="26" t="s">
        <v>66</v>
      </c>
    </row>
    <row r="3" spans="2:14" x14ac:dyDescent="0.25">
      <c r="B3" s="27" t="s">
        <v>67</v>
      </c>
      <c r="C3" s="28"/>
      <c r="D3" s="29" t="s">
        <v>18</v>
      </c>
      <c r="E3" s="30" t="s">
        <v>18</v>
      </c>
      <c r="F3" s="28" t="s">
        <v>18</v>
      </c>
      <c r="G3" s="31" t="s">
        <v>19</v>
      </c>
      <c r="H3" s="30" t="s">
        <v>20</v>
      </c>
      <c r="I3" s="30" t="s">
        <v>21</v>
      </c>
      <c r="J3" s="30" t="s">
        <v>21</v>
      </c>
      <c r="K3" s="30" t="s">
        <v>22</v>
      </c>
      <c r="L3" s="30" t="s">
        <v>22</v>
      </c>
      <c r="M3" s="30" t="s">
        <v>23</v>
      </c>
      <c r="N3" s="32" t="s">
        <v>18</v>
      </c>
    </row>
    <row r="4" spans="2:14" x14ac:dyDescent="0.25">
      <c r="B4" s="33"/>
      <c r="C4" s="34"/>
      <c r="D4" s="35">
        <v>289.24861111111113</v>
      </c>
      <c r="E4" s="35">
        <v>333.95486111111109</v>
      </c>
      <c r="F4" s="35">
        <v>68.711111111111094</v>
      </c>
      <c r="G4" s="36">
        <v>20.050694444444446</v>
      </c>
      <c r="H4" s="35">
        <v>70.140277777777754</v>
      </c>
      <c r="I4" s="36">
        <v>2.9347222222222227</v>
      </c>
      <c r="J4" s="35">
        <v>4.6062499999999984</v>
      </c>
      <c r="K4" s="36">
        <v>259.59375000000011</v>
      </c>
      <c r="L4" s="36">
        <v>14.199999999999998</v>
      </c>
      <c r="M4" s="35">
        <v>945.10069444444389</v>
      </c>
      <c r="N4" s="37">
        <v>-4.375288464141736</v>
      </c>
    </row>
    <row r="5" spans="2:14" x14ac:dyDescent="0.25">
      <c r="B5" s="33"/>
      <c r="C5" s="34"/>
      <c r="D5" s="35">
        <v>248.47708333333335</v>
      </c>
      <c r="E5" s="35">
        <v>209.07222222222222</v>
      </c>
      <c r="F5" s="35">
        <v>94.297916666666652</v>
      </c>
      <c r="G5" s="36">
        <v>22.679861111111119</v>
      </c>
      <c r="H5" s="35">
        <v>49.645833333333307</v>
      </c>
      <c r="I5" s="36">
        <v>1.3291666666666662</v>
      </c>
      <c r="J5" s="35">
        <v>2.588194444444444</v>
      </c>
      <c r="K5" s="36">
        <v>186.21180555555549</v>
      </c>
      <c r="L5" s="36">
        <v>15.13541666666667</v>
      </c>
      <c r="M5" s="35">
        <v>945.28541666666672</v>
      </c>
      <c r="N5" s="37">
        <v>3.3359778958553514</v>
      </c>
    </row>
    <row r="6" spans="2:14" x14ac:dyDescent="0.25">
      <c r="B6" s="33"/>
      <c r="C6" s="34"/>
      <c r="D6" s="35">
        <v>117.68472222222219</v>
      </c>
      <c r="E6" s="35">
        <v>38.484027777777776</v>
      </c>
      <c r="F6" s="35">
        <v>100.48125000000003</v>
      </c>
      <c r="G6" s="36">
        <v>20.25555555555556</v>
      </c>
      <c r="H6" s="35">
        <v>54.99652777777775</v>
      </c>
      <c r="I6" s="36">
        <v>2.968055555555555</v>
      </c>
      <c r="J6" s="35">
        <v>4.9069444444444432</v>
      </c>
      <c r="K6" s="36">
        <v>208.56250000000003</v>
      </c>
      <c r="L6" s="36">
        <v>15.82847222222221</v>
      </c>
      <c r="M6" s="35">
        <v>945.82430555555561</v>
      </c>
      <c r="N6" s="37">
        <v>3.5980132089473846</v>
      </c>
    </row>
    <row r="7" spans="2:14" x14ac:dyDescent="0.25">
      <c r="B7" s="33"/>
      <c r="C7" s="34"/>
      <c r="D7" s="35">
        <v>273.77847222222226</v>
      </c>
      <c r="E7" s="35">
        <v>285.83263888888905</v>
      </c>
      <c r="F7" s="35">
        <v>74.463194444444468</v>
      </c>
      <c r="G7" s="36">
        <v>20.352083333333333</v>
      </c>
      <c r="H7" s="35">
        <v>56.455555555555598</v>
      </c>
      <c r="I7" s="36">
        <v>1.5888888888888886</v>
      </c>
      <c r="J7" s="35">
        <v>3.1833333333333331</v>
      </c>
      <c r="K7" s="36">
        <v>168.23472222222225</v>
      </c>
      <c r="L7" s="36">
        <v>15.82152777777778</v>
      </c>
      <c r="M7" s="35">
        <v>946.49791666666692</v>
      </c>
      <c r="N7" s="37">
        <v>-0.67302026154689065</v>
      </c>
    </row>
    <row r="8" spans="2:14" x14ac:dyDescent="0.25">
      <c r="B8" s="33"/>
      <c r="C8" s="34"/>
      <c r="D8" s="35">
        <v>231.0041666666668</v>
      </c>
      <c r="E8" s="35">
        <v>170.37916666666672</v>
      </c>
      <c r="F8" s="35">
        <v>112.15</v>
      </c>
      <c r="G8" s="36">
        <v>21.220138888888894</v>
      </c>
      <c r="H8" s="35">
        <v>50.178472222222219</v>
      </c>
      <c r="I8" s="36">
        <v>2.2152777777777781</v>
      </c>
      <c r="J8" s="35">
        <v>4.0354166666666655</v>
      </c>
      <c r="K8" s="36">
        <v>140.31249999999997</v>
      </c>
      <c r="L8" s="36">
        <v>17.031944444444441</v>
      </c>
      <c r="M8" s="35">
        <v>947.59791666666672</v>
      </c>
      <c r="N8" s="37">
        <v>-0.76628129635784659</v>
      </c>
    </row>
    <row r="12" spans="2:14" x14ac:dyDescent="0.25">
      <c r="B12" s="33"/>
      <c r="C12" s="34"/>
      <c r="D12" s="35">
        <v>293.31388888888887</v>
      </c>
      <c r="E12" s="35">
        <v>347.26250000000005</v>
      </c>
      <c r="F12" s="35">
        <v>48.447222222222216</v>
      </c>
      <c r="G12" s="36">
        <v>22.002777777777791</v>
      </c>
      <c r="H12" s="35">
        <v>52.146527777777777</v>
      </c>
      <c r="I12" s="36">
        <v>3.0840277777777785</v>
      </c>
      <c r="J12" s="35">
        <v>4.9694444444444423</v>
      </c>
      <c r="K12" s="36">
        <v>278.5868055555556</v>
      </c>
      <c r="L12" s="36">
        <v>16.082638888888887</v>
      </c>
      <c r="M12" s="35">
        <v>944.86666666666633</v>
      </c>
      <c r="N12" s="37">
        <v>-2.6891712444379152</v>
      </c>
    </row>
    <row r="13" spans="2:14" x14ac:dyDescent="0.25">
      <c r="B13" s="33"/>
      <c r="C13" s="34"/>
      <c r="D13" s="35">
        <v>303.07986111111109</v>
      </c>
      <c r="E13" s="35">
        <v>357.57986111111109</v>
      </c>
      <c r="F13" s="35">
        <v>58.704166666666652</v>
      </c>
      <c r="G13" s="36">
        <v>24.6076388888889</v>
      </c>
      <c r="H13" s="35">
        <v>45.73958333333335</v>
      </c>
      <c r="I13" s="36">
        <v>3.0791666666666675</v>
      </c>
      <c r="J13" s="35">
        <v>4.987499999999998</v>
      </c>
      <c r="K13" s="36">
        <v>275.24097222222213</v>
      </c>
      <c r="L13" s="36">
        <v>17.123611111111106</v>
      </c>
      <c r="M13" s="35">
        <v>941.71666666666636</v>
      </c>
      <c r="N13" s="37">
        <v>-4.7524323724265241</v>
      </c>
    </row>
    <row r="14" spans="2:14" x14ac:dyDescent="0.25">
      <c r="B14" s="33"/>
      <c r="C14" s="34"/>
      <c r="D14" s="35">
        <v>288.05972222222238</v>
      </c>
      <c r="E14" s="35">
        <v>304.86041666666665</v>
      </c>
      <c r="F14" s="35">
        <v>76.179166666666674</v>
      </c>
      <c r="G14" s="36">
        <v>25.563194444444441</v>
      </c>
      <c r="H14" s="35">
        <v>41.685416666666683</v>
      </c>
      <c r="I14" s="36">
        <v>2.1680555555555561</v>
      </c>
      <c r="J14" s="35">
        <v>3.6722222222222225</v>
      </c>
      <c r="K14" s="36">
        <v>272.69027777777791</v>
      </c>
      <c r="L14" s="36">
        <v>16.087499999999995</v>
      </c>
      <c r="M14" s="35">
        <v>941.48819444444439</v>
      </c>
      <c r="N14" s="37">
        <v>-3.1896550885872887</v>
      </c>
    </row>
    <row r="15" spans="2:14" x14ac:dyDescent="0.25">
      <c r="B15" s="33"/>
      <c r="C15" s="34"/>
      <c r="D15" s="35">
        <v>261.12569444444438</v>
      </c>
      <c r="E15" s="35">
        <v>210.78124999999994</v>
      </c>
      <c r="F15" s="35">
        <v>103.10208333333334</v>
      </c>
      <c r="G15" s="36">
        <v>26.520833333333332</v>
      </c>
      <c r="H15" s="35">
        <v>35.059027777777793</v>
      </c>
      <c r="I15" s="36">
        <v>1.6986111111111111</v>
      </c>
      <c r="J15" s="35">
        <v>2.9173611111111111</v>
      </c>
      <c r="K15" s="36">
        <v>234.47291666666666</v>
      </c>
      <c r="L15" s="36">
        <v>12.78611111111111</v>
      </c>
      <c r="M15" s="35">
        <v>943.05833333333328</v>
      </c>
      <c r="N15" s="37">
        <v>-3.6482756221255759</v>
      </c>
    </row>
    <row r="18" spans="2:14" x14ac:dyDescent="0.25">
      <c r="B18" s="33"/>
      <c r="C18" s="34"/>
      <c r="D18" s="35">
        <v>296.09370629370625</v>
      </c>
      <c r="E18" s="35">
        <v>306.19160839160821</v>
      </c>
      <c r="F18" s="35">
        <v>76.083216783216798</v>
      </c>
      <c r="G18" s="36">
        <v>24.136363636363647</v>
      </c>
      <c r="H18" s="35">
        <v>51.407692307692294</v>
      </c>
      <c r="I18" s="36">
        <v>2.8657342657342642</v>
      </c>
      <c r="J18" s="35">
        <v>4.6300699300699275</v>
      </c>
      <c r="K18" s="36">
        <v>258.07342657342656</v>
      </c>
      <c r="L18" s="36">
        <v>16.188111888111891</v>
      </c>
      <c r="M18" s="35">
        <v>944.14825174825137</v>
      </c>
      <c r="N18" s="37">
        <v>-2.3849307994806179</v>
      </c>
    </row>
    <row r="19" spans="2:14" x14ac:dyDescent="0.25">
      <c r="B19" s="33"/>
      <c r="C19" s="34"/>
      <c r="D19" s="35">
        <v>121.42152777777775</v>
      </c>
      <c r="E19" s="35">
        <v>95.320138888888906</v>
      </c>
      <c r="F19" s="35">
        <v>70.43541666666664</v>
      </c>
      <c r="G19" s="36">
        <v>23.703472222222224</v>
      </c>
      <c r="H19" s="35">
        <v>48.27291666666666</v>
      </c>
      <c r="I19" s="36">
        <v>2.6618055555555555</v>
      </c>
      <c r="J19" s="35">
        <v>4.8791666666666664</v>
      </c>
      <c r="K19" s="36">
        <v>198.02847222222226</v>
      </c>
      <c r="L19" s="36">
        <v>20.152083333333334</v>
      </c>
      <c r="M19" s="35">
        <v>946.08055555555518</v>
      </c>
      <c r="N19" s="37">
        <v>4.2219350133643712</v>
      </c>
    </row>
    <row r="20" spans="2:14" x14ac:dyDescent="0.25">
      <c r="B20" s="33"/>
      <c r="C20" s="34"/>
      <c r="D20" s="35">
        <v>317.42152777777778</v>
      </c>
      <c r="E20" s="35">
        <v>372.70972222222213</v>
      </c>
      <c r="F20" s="35">
        <v>56.888194444444466</v>
      </c>
      <c r="G20" s="36">
        <v>24.696527777777774</v>
      </c>
      <c r="H20" s="35">
        <v>43.820138888888877</v>
      </c>
      <c r="I20" s="36">
        <v>4.5326388888888918</v>
      </c>
      <c r="J20" s="35">
        <v>7.1444444444444475</v>
      </c>
      <c r="K20" s="36">
        <v>288.00694444444446</v>
      </c>
      <c r="L20" s="36">
        <v>19.043750000000003</v>
      </c>
      <c r="M20" s="35">
        <v>946.56736111111104</v>
      </c>
      <c r="N20" s="37">
        <v>-4.4268802374923748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5" workbookViewId="0">
      <selection activeCell="C21" sqref="C21"/>
    </sheetView>
  </sheetViews>
  <sheetFormatPr defaultRowHeight="15" x14ac:dyDescent="0.25"/>
  <cols>
    <col min="1" max="1" width="13.85546875" customWidth="1"/>
    <col min="2" max="2" width="12.28515625" customWidth="1"/>
    <col min="4" max="4" width="16.28515625" customWidth="1"/>
    <col min="5" max="5" width="11.42578125" customWidth="1"/>
  </cols>
  <sheetData>
    <row r="1" spans="1:18" x14ac:dyDescent="0.25">
      <c r="A1" s="55" t="s">
        <v>68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x14ac:dyDescent="0.25">
      <c r="A2" s="15" t="s">
        <v>49</v>
      </c>
      <c r="B2" s="15" t="s">
        <v>50</v>
      </c>
      <c r="C2" s="15" t="s">
        <v>0</v>
      </c>
      <c r="D2" s="16" t="s">
        <v>63</v>
      </c>
      <c r="E2" s="15" t="s">
        <v>6</v>
      </c>
      <c r="F2" s="50" t="s">
        <v>1</v>
      </c>
      <c r="G2" s="50"/>
      <c r="H2" s="51" t="s">
        <v>5</v>
      </c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15.75" x14ac:dyDescent="0.3">
      <c r="A3" s="12"/>
      <c r="B3" s="12"/>
      <c r="C3" s="1"/>
      <c r="D3" s="1"/>
      <c r="E3" s="1"/>
      <c r="F3" s="52" t="s">
        <v>2</v>
      </c>
      <c r="G3" s="53"/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12"/>
      <c r="B4" s="12"/>
      <c r="C4" s="1"/>
      <c r="D4" s="1"/>
      <c r="E4" s="1"/>
      <c r="F4" s="17" t="s">
        <v>3</v>
      </c>
      <c r="G4" s="17" t="s">
        <v>4</v>
      </c>
      <c r="H4" s="4" t="s">
        <v>18</v>
      </c>
      <c r="I4" s="4" t="s">
        <v>18</v>
      </c>
      <c r="J4" s="5" t="s">
        <v>18</v>
      </c>
      <c r="K4" s="4" t="s">
        <v>19</v>
      </c>
      <c r="L4" s="4" t="s">
        <v>20</v>
      </c>
      <c r="M4" s="6" t="s">
        <v>21</v>
      </c>
      <c r="N4" s="6" t="s">
        <v>21</v>
      </c>
      <c r="O4" s="6" t="s">
        <v>22</v>
      </c>
      <c r="P4" s="6" t="s">
        <v>22</v>
      </c>
      <c r="Q4" s="6" t="s">
        <v>23</v>
      </c>
      <c r="R4" s="7" t="s">
        <v>18</v>
      </c>
    </row>
    <row r="5" spans="1:18" x14ac:dyDescent="0.25">
      <c r="A5" s="12"/>
      <c r="B5" s="12"/>
      <c r="C5" s="1"/>
      <c r="D5" s="1"/>
      <c r="E5" s="1"/>
      <c r="F5" s="1"/>
      <c r="G5" s="1"/>
      <c r="H5" s="8" t="s">
        <v>24</v>
      </c>
      <c r="I5" s="8" t="s">
        <v>24</v>
      </c>
      <c r="J5" s="8" t="s">
        <v>24</v>
      </c>
      <c r="K5" s="8" t="s">
        <v>24</v>
      </c>
      <c r="L5" s="8" t="s">
        <v>24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24</v>
      </c>
      <c r="R5" s="8" t="s">
        <v>24</v>
      </c>
    </row>
    <row r="6" spans="1:18" x14ac:dyDescent="0.25">
      <c r="A6" t="s">
        <v>53</v>
      </c>
      <c r="B6" t="s">
        <v>54</v>
      </c>
      <c r="C6">
        <v>2</v>
      </c>
      <c r="D6" s="11" t="s">
        <v>29</v>
      </c>
      <c r="E6" s="9">
        <f t="shared" ref="E6" si="0">DATE(2016,4,4)</f>
        <v>42464</v>
      </c>
      <c r="F6">
        <v>293.16000000000003</v>
      </c>
      <c r="G6">
        <v>181.85</v>
      </c>
      <c r="H6">
        <v>814</v>
      </c>
      <c r="I6">
        <v>772</v>
      </c>
      <c r="J6">
        <v>187</v>
      </c>
      <c r="K6">
        <v>25</v>
      </c>
      <c r="L6">
        <v>50</v>
      </c>
      <c r="M6">
        <v>4.7</v>
      </c>
      <c r="N6">
        <v>7.3</v>
      </c>
      <c r="O6">
        <v>270</v>
      </c>
      <c r="P6">
        <v>18</v>
      </c>
      <c r="Q6">
        <v>945</v>
      </c>
      <c r="R6">
        <v>-17.2</v>
      </c>
    </row>
    <row r="7" spans="1:18" x14ac:dyDescent="0.25">
      <c r="D7" s="11" t="s">
        <v>28</v>
      </c>
      <c r="E7" s="14">
        <f t="shared" ref="E7" si="1">DATE(2016,4,5)</f>
        <v>42465</v>
      </c>
      <c r="F7">
        <v>76.08</v>
      </c>
      <c r="G7">
        <v>123.36</v>
      </c>
      <c r="H7">
        <v>726</v>
      </c>
      <c r="I7">
        <v>637</v>
      </c>
      <c r="J7">
        <v>223</v>
      </c>
      <c r="K7">
        <v>28.1</v>
      </c>
      <c r="L7">
        <v>33</v>
      </c>
      <c r="M7">
        <v>1.7</v>
      </c>
      <c r="N7">
        <v>3.5</v>
      </c>
      <c r="O7">
        <v>124</v>
      </c>
      <c r="P7">
        <v>28.8</v>
      </c>
      <c r="Q7">
        <v>946</v>
      </c>
      <c r="R7">
        <v>-6.8</v>
      </c>
    </row>
    <row r="8" spans="1:18" x14ac:dyDescent="0.25">
      <c r="D8" s="11" t="s">
        <v>31</v>
      </c>
      <c r="E8" s="9">
        <f t="shared" ref="E8" si="2">DATE(2016,4,6)</f>
        <v>42466</v>
      </c>
      <c r="F8">
        <v>122</v>
      </c>
      <c r="G8">
        <v>26.08</v>
      </c>
      <c r="H8">
        <v>325</v>
      </c>
      <c r="I8">
        <v>47</v>
      </c>
      <c r="J8">
        <v>297</v>
      </c>
      <c r="K8">
        <v>21.9</v>
      </c>
      <c r="L8">
        <v>49</v>
      </c>
      <c r="M8">
        <v>3.6</v>
      </c>
      <c r="N8">
        <v>5.7</v>
      </c>
      <c r="O8">
        <v>245</v>
      </c>
      <c r="P8">
        <v>17.3</v>
      </c>
      <c r="Q8">
        <v>946</v>
      </c>
      <c r="R8">
        <v>-1.2</v>
      </c>
    </row>
    <row r="9" spans="1:18" x14ac:dyDescent="0.25">
      <c r="D9" s="11" t="s">
        <v>69</v>
      </c>
      <c r="E9" s="9">
        <f t="shared" ref="E9" si="3">DATE(2016,4,7)</f>
        <v>42467</v>
      </c>
      <c r="F9">
        <v>162.5</v>
      </c>
      <c r="G9">
        <v>272.27999999999997</v>
      </c>
      <c r="H9">
        <v>633</v>
      </c>
      <c r="I9">
        <v>606</v>
      </c>
      <c r="J9">
        <v>168</v>
      </c>
      <c r="K9">
        <v>25.7</v>
      </c>
      <c r="L9">
        <v>38</v>
      </c>
      <c r="M9">
        <v>3</v>
      </c>
      <c r="N9">
        <v>5.8</v>
      </c>
      <c r="O9">
        <v>207</v>
      </c>
      <c r="P9">
        <v>28.2</v>
      </c>
      <c r="Q9">
        <v>946</v>
      </c>
      <c r="R9">
        <v>-7.9</v>
      </c>
    </row>
    <row r="10" spans="1:18" x14ac:dyDescent="0.25">
      <c r="D10" t="s">
        <v>35</v>
      </c>
      <c r="E10" s="9">
        <f t="shared" ref="E10" si="4">DATE(2016,4,8)</f>
        <v>42468</v>
      </c>
      <c r="F10">
        <v>84.23</v>
      </c>
      <c r="G10">
        <v>47.28</v>
      </c>
      <c r="H10">
        <v>648</v>
      </c>
      <c r="I10">
        <v>374</v>
      </c>
      <c r="J10">
        <v>328</v>
      </c>
      <c r="K10">
        <v>27.7</v>
      </c>
      <c r="L10">
        <v>32</v>
      </c>
      <c r="M10">
        <v>1.8</v>
      </c>
      <c r="N10">
        <v>3.6</v>
      </c>
      <c r="O10">
        <v>153</v>
      </c>
      <c r="P10">
        <v>31</v>
      </c>
      <c r="Q10">
        <v>947</v>
      </c>
      <c r="R10">
        <v>-8.6</v>
      </c>
    </row>
    <row r="11" spans="1:18" x14ac:dyDescent="0.25">
      <c r="D11" t="s">
        <v>36</v>
      </c>
      <c r="E11" s="9">
        <f t="shared" ref="E11" si="5">DATE(2016,4,12)</f>
        <v>42472</v>
      </c>
      <c r="F11">
        <v>120.52</v>
      </c>
      <c r="G11">
        <v>105.21</v>
      </c>
      <c r="H11">
        <v>669</v>
      </c>
      <c r="I11">
        <v>705</v>
      </c>
      <c r="J11">
        <v>105</v>
      </c>
      <c r="K11">
        <v>26</v>
      </c>
      <c r="L11">
        <v>39</v>
      </c>
      <c r="M11">
        <v>4</v>
      </c>
      <c r="N11">
        <v>7</v>
      </c>
      <c r="O11">
        <v>285</v>
      </c>
      <c r="P11">
        <v>21</v>
      </c>
      <c r="Q11">
        <v>944</v>
      </c>
      <c r="R11">
        <v>-11</v>
      </c>
    </row>
    <row r="12" spans="1:18" x14ac:dyDescent="0.25">
      <c r="D12" t="s">
        <v>38</v>
      </c>
      <c r="E12" s="9">
        <f t="shared" ref="E12" si="6">DATE(2016,4,13)</f>
        <v>42473</v>
      </c>
      <c r="F12">
        <v>177.19</v>
      </c>
      <c r="G12">
        <v>202.28</v>
      </c>
      <c r="H12">
        <v>882</v>
      </c>
      <c r="I12">
        <v>853</v>
      </c>
      <c r="J12">
        <v>144</v>
      </c>
      <c r="K12">
        <v>28</v>
      </c>
      <c r="L12">
        <v>37</v>
      </c>
      <c r="M12">
        <v>4.7</v>
      </c>
      <c r="N12">
        <v>7.8</v>
      </c>
      <c r="O12">
        <v>286</v>
      </c>
      <c r="P12">
        <v>25</v>
      </c>
      <c r="Q12">
        <v>942</v>
      </c>
      <c r="R12">
        <v>-17</v>
      </c>
    </row>
    <row r="13" spans="1:18" x14ac:dyDescent="0.25">
      <c r="D13" t="s">
        <v>39</v>
      </c>
      <c r="E13" s="9">
        <f t="shared" ref="E13" si="7">DATE(2016,4,14)</f>
        <v>42474</v>
      </c>
      <c r="F13">
        <v>36.479999999999997</v>
      </c>
      <c r="G13">
        <v>88.92</v>
      </c>
      <c r="H13">
        <v>658</v>
      </c>
      <c r="I13">
        <v>613</v>
      </c>
      <c r="J13">
        <v>176</v>
      </c>
      <c r="K13">
        <v>31</v>
      </c>
      <c r="L13">
        <v>24</v>
      </c>
      <c r="M13">
        <v>3.3</v>
      </c>
      <c r="N13">
        <v>5.3</v>
      </c>
      <c r="O13">
        <v>285</v>
      </c>
      <c r="P13">
        <v>23</v>
      </c>
      <c r="Q13">
        <v>942</v>
      </c>
      <c r="R13">
        <v>-15</v>
      </c>
    </row>
    <row r="14" spans="1:18" x14ac:dyDescent="0.25">
      <c r="D14" s="11" t="s">
        <v>38</v>
      </c>
      <c r="E14" s="9">
        <f t="shared" ref="E14" si="8">DATE(2016,4,15)</f>
        <v>42475</v>
      </c>
      <c r="F14">
        <v>134.52000000000001</v>
      </c>
      <c r="G14">
        <v>152.11000000000001</v>
      </c>
      <c r="H14">
        <v>679</v>
      </c>
      <c r="I14">
        <v>530</v>
      </c>
      <c r="J14">
        <v>229</v>
      </c>
      <c r="K14">
        <v>32</v>
      </c>
      <c r="L14">
        <v>24</v>
      </c>
      <c r="M14">
        <v>2.9</v>
      </c>
      <c r="N14">
        <v>4.8</v>
      </c>
      <c r="O14">
        <v>261</v>
      </c>
      <c r="P14">
        <v>21</v>
      </c>
      <c r="Q14">
        <v>943</v>
      </c>
      <c r="R14">
        <v>-17</v>
      </c>
    </row>
    <row r="15" spans="1:18" x14ac:dyDescent="0.25">
      <c r="D15" t="s">
        <v>43</v>
      </c>
      <c r="E15" s="9">
        <f t="shared" ref="E15" si="9">DATE(2016,4,18)</f>
        <v>42478</v>
      </c>
      <c r="F15">
        <v>28.33</v>
      </c>
      <c r="G15">
        <v>53.09</v>
      </c>
      <c r="H15">
        <v>686</v>
      </c>
      <c r="I15">
        <v>660</v>
      </c>
      <c r="J15">
        <v>166</v>
      </c>
      <c r="K15">
        <v>29</v>
      </c>
      <c r="L15">
        <v>39</v>
      </c>
      <c r="M15">
        <v>3.4</v>
      </c>
      <c r="N15">
        <v>5.5</v>
      </c>
      <c r="O15">
        <v>267</v>
      </c>
      <c r="P15">
        <v>21</v>
      </c>
      <c r="Q15">
        <v>945</v>
      </c>
      <c r="R15">
        <v>-13</v>
      </c>
    </row>
    <row r="16" spans="1:18" x14ac:dyDescent="0.25">
      <c r="D16" t="s">
        <v>45</v>
      </c>
      <c r="E16" s="9">
        <f t="shared" ref="E16" si="10">DATE(2016,4,19)</f>
        <v>42479</v>
      </c>
      <c r="F16">
        <v>68.03</v>
      </c>
      <c r="G16">
        <v>147.54</v>
      </c>
      <c r="H16">
        <v>328</v>
      </c>
      <c r="I16">
        <v>261</v>
      </c>
      <c r="J16">
        <v>177</v>
      </c>
      <c r="K16">
        <v>26.3</v>
      </c>
      <c r="L16">
        <v>35</v>
      </c>
      <c r="M16">
        <v>3.2</v>
      </c>
      <c r="N16">
        <v>6.2</v>
      </c>
      <c r="O16">
        <v>103</v>
      </c>
      <c r="P16">
        <v>28.2</v>
      </c>
      <c r="Q16">
        <v>947</v>
      </c>
      <c r="R16">
        <v>-0.4</v>
      </c>
    </row>
    <row r="17" spans="2:18" x14ac:dyDescent="0.25">
      <c r="D17" t="s">
        <v>47</v>
      </c>
      <c r="E17" s="9">
        <f t="shared" ref="E17" si="11">DATE(2016,4,20)</f>
        <v>42480</v>
      </c>
      <c r="F17">
        <v>105.53</v>
      </c>
      <c r="G17">
        <v>187.94</v>
      </c>
      <c r="H17">
        <v>725</v>
      </c>
      <c r="I17">
        <v>788</v>
      </c>
      <c r="J17">
        <v>124</v>
      </c>
      <c r="K17">
        <v>28.7</v>
      </c>
      <c r="L17">
        <v>35</v>
      </c>
      <c r="M17">
        <v>5.0999999999999996</v>
      </c>
      <c r="N17">
        <v>8</v>
      </c>
      <c r="O17">
        <v>288</v>
      </c>
      <c r="P17">
        <v>20.8</v>
      </c>
      <c r="Q17">
        <v>947</v>
      </c>
      <c r="R17">
        <v>-13.1</v>
      </c>
    </row>
    <row r="20" spans="2:18" x14ac:dyDescent="0.25">
      <c r="B20">
        <f>CORREL(F6:F17,M6:M17)</f>
        <v>0.47839281172068077</v>
      </c>
    </row>
    <row r="21" spans="2:18" x14ac:dyDescent="0.25">
      <c r="B21">
        <f>CORREL(G6:G17,M6:M17)</f>
        <v>0.35011001557993621</v>
      </c>
    </row>
    <row r="22" spans="2:18" x14ac:dyDescent="0.25">
      <c r="B22">
        <f>CORREL(F6:F17,N6:N17)</f>
        <v>0.47798136833645499</v>
      </c>
    </row>
    <row r="23" spans="2:18" x14ac:dyDescent="0.25">
      <c r="B23">
        <f>CORREL(G6:G17,N6:N17)</f>
        <v>0.46806874185472896</v>
      </c>
    </row>
    <row r="24" spans="2:18" x14ac:dyDescent="0.25">
      <c r="B24">
        <f>CORREL(F6:F17,L6:L17)</f>
        <v>0.55408957014775495</v>
      </c>
    </row>
    <row r="25" spans="2:18" x14ac:dyDescent="0.25">
      <c r="B25">
        <f>CORREL(G6:G17,L6:L17)</f>
        <v>-1.2103699562994841E-2</v>
      </c>
    </row>
    <row r="26" spans="2:18" x14ac:dyDescent="0.25">
      <c r="B26">
        <f>CORREL(F6:F17,K6:K17)</f>
        <v>-0.39456867443353655</v>
      </c>
    </row>
    <row r="27" spans="2:18" x14ac:dyDescent="0.25">
      <c r="B27">
        <f>CORREL(G6:G17,K6:K17)</f>
        <v>6.4023414751274543E-2</v>
      </c>
    </row>
  </sheetData>
  <mergeCells count="4">
    <mergeCell ref="F2:G2"/>
    <mergeCell ref="H2:R2"/>
    <mergeCell ref="F3:G3"/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A3" workbookViewId="0">
      <selection activeCell="C22" sqref="C22"/>
    </sheetView>
  </sheetViews>
  <sheetFormatPr defaultRowHeight="15" x14ac:dyDescent="0.25"/>
  <cols>
    <col min="1" max="1" width="12.28515625" customWidth="1"/>
    <col min="2" max="2" width="11.5703125" customWidth="1"/>
    <col min="3" max="3" width="12" customWidth="1"/>
    <col min="4" max="4" width="15.7109375" customWidth="1"/>
    <col min="5" max="5" width="10.42578125" customWidth="1"/>
  </cols>
  <sheetData>
    <row r="1" spans="1:18" x14ac:dyDescent="0.25">
      <c r="A1" s="55" t="s">
        <v>70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x14ac:dyDescent="0.25">
      <c r="A2" s="15" t="s">
        <v>49</v>
      </c>
      <c r="B2" s="15" t="s">
        <v>50</v>
      </c>
      <c r="C2" s="15" t="s">
        <v>0</v>
      </c>
      <c r="D2" s="16" t="s">
        <v>63</v>
      </c>
      <c r="E2" s="15" t="s">
        <v>6</v>
      </c>
      <c r="F2" s="50" t="s">
        <v>1</v>
      </c>
      <c r="G2" s="50"/>
      <c r="H2" s="51" t="s">
        <v>5</v>
      </c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15.75" x14ac:dyDescent="0.3">
      <c r="A3" s="12"/>
      <c r="B3" s="12"/>
      <c r="C3" s="1"/>
      <c r="D3" s="1"/>
      <c r="E3" s="1"/>
      <c r="F3" s="52" t="s">
        <v>2</v>
      </c>
      <c r="G3" s="53"/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12"/>
      <c r="B4" s="12"/>
      <c r="C4" s="1"/>
      <c r="D4" s="1"/>
      <c r="E4" s="1"/>
      <c r="F4" s="17" t="s">
        <v>3</v>
      </c>
      <c r="G4" s="17" t="s">
        <v>4</v>
      </c>
      <c r="H4" s="4" t="s">
        <v>18</v>
      </c>
      <c r="I4" s="4" t="s">
        <v>18</v>
      </c>
      <c r="J4" s="5" t="s">
        <v>18</v>
      </c>
      <c r="K4" s="4" t="s">
        <v>19</v>
      </c>
      <c r="L4" s="4" t="s">
        <v>20</v>
      </c>
      <c r="M4" s="6" t="s">
        <v>21</v>
      </c>
      <c r="N4" s="6" t="s">
        <v>21</v>
      </c>
      <c r="O4" s="6" t="s">
        <v>22</v>
      </c>
      <c r="P4" s="6" t="s">
        <v>22</v>
      </c>
      <c r="Q4" s="6" t="s">
        <v>23</v>
      </c>
      <c r="R4" s="7" t="s">
        <v>18</v>
      </c>
    </row>
    <row r="5" spans="1:18" x14ac:dyDescent="0.25">
      <c r="A5" s="12"/>
      <c r="B5" s="12"/>
      <c r="C5" s="1"/>
      <c r="D5" s="1"/>
      <c r="E5" s="1"/>
      <c r="F5" s="1"/>
      <c r="G5" s="1"/>
      <c r="H5" s="8" t="s">
        <v>24</v>
      </c>
      <c r="I5" s="8" t="s">
        <v>24</v>
      </c>
      <c r="J5" s="8" t="s">
        <v>24</v>
      </c>
      <c r="K5" s="8" t="s">
        <v>24</v>
      </c>
      <c r="L5" s="8" t="s">
        <v>24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24</v>
      </c>
      <c r="R5" s="8" t="s">
        <v>24</v>
      </c>
    </row>
    <row r="6" spans="1:18" x14ac:dyDescent="0.25">
      <c r="A6" t="s">
        <v>55</v>
      </c>
      <c r="B6" t="s">
        <v>56</v>
      </c>
      <c r="C6">
        <v>3</v>
      </c>
      <c r="D6" s="11" t="s">
        <v>29</v>
      </c>
      <c r="E6" s="9">
        <f t="shared" ref="E6" si="0">DATE(2016,4,4)</f>
        <v>42464</v>
      </c>
      <c r="F6">
        <v>7.81</v>
      </c>
      <c r="G6">
        <v>51.79</v>
      </c>
      <c r="H6">
        <v>814</v>
      </c>
      <c r="I6">
        <v>772</v>
      </c>
      <c r="J6">
        <v>187</v>
      </c>
      <c r="K6">
        <v>25</v>
      </c>
      <c r="L6">
        <v>50</v>
      </c>
      <c r="M6">
        <v>4.7</v>
      </c>
      <c r="N6">
        <v>7.3</v>
      </c>
      <c r="O6">
        <v>270</v>
      </c>
      <c r="P6">
        <v>18</v>
      </c>
      <c r="Q6">
        <v>945</v>
      </c>
      <c r="R6">
        <v>-17.2</v>
      </c>
    </row>
    <row r="7" spans="1:18" x14ac:dyDescent="0.25">
      <c r="D7" s="11" t="s">
        <v>28</v>
      </c>
      <c r="E7" s="14">
        <f t="shared" ref="E7" si="1">DATE(2016,4,5)</f>
        <v>42465</v>
      </c>
      <c r="F7">
        <v>12.5</v>
      </c>
      <c r="G7">
        <v>50.54</v>
      </c>
      <c r="H7">
        <v>726</v>
      </c>
      <c r="I7">
        <v>637</v>
      </c>
      <c r="J7">
        <v>223</v>
      </c>
      <c r="K7">
        <v>28.1</v>
      </c>
      <c r="L7">
        <v>33</v>
      </c>
      <c r="M7">
        <v>1.7</v>
      </c>
      <c r="N7">
        <v>3.5</v>
      </c>
      <c r="O7">
        <v>124</v>
      </c>
      <c r="P7">
        <v>28.8</v>
      </c>
      <c r="Q7">
        <v>946</v>
      </c>
      <c r="R7">
        <v>-6.8</v>
      </c>
    </row>
    <row r="8" spans="1:18" x14ac:dyDescent="0.25">
      <c r="D8" s="11" t="s">
        <v>31</v>
      </c>
      <c r="E8" s="9">
        <f t="shared" ref="E8" si="2">DATE(2016,4,6)</f>
        <v>42466</v>
      </c>
      <c r="F8">
        <v>148.36000000000001</v>
      </c>
      <c r="G8">
        <v>165.21</v>
      </c>
      <c r="H8">
        <v>325</v>
      </c>
      <c r="I8">
        <v>47</v>
      </c>
      <c r="J8">
        <v>297</v>
      </c>
      <c r="K8">
        <v>21.9</v>
      </c>
      <c r="L8">
        <v>49</v>
      </c>
      <c r="M8">
        <v>3.6</v>
      </c>
      <c r="N8">
        <v>5.7</v>
      </c>
      <c r="O8">
        <v>245</v>
      </c>
      <c r="P8">
        <v>17.3</v>
      </c>
      <c r="Q8">
        <v>946</v>
      </c>
      <c r="R8">
        <v>-1.2</v>
      </c>
    </row>
    <row r="9" spans="1:18" x14ac:dyDescent="0.25">
      <c r="D9" s="11" t="s">
        <v>33</v>
      </c>
      <c r="E9" s="9">
        <f t="shared" ref="E9" si="3">DATE(2016,4,7)</f>
        <v>42467</v>
      </c>
      <c r="F9">
        <v>162.5</v>
      </c>
      <c r="G9">
        <v>320.64999999999998</v>
      </c>
      <c r="H9">
        <v>633</v>
      </c>
      <c r="I9">
        <v>606</v>
      </c>
      <c r="J9">
        <v>168</v>
      </c>
      <c r="K9">
        <v>25.7</v>
      </c>
      <c r="L9">
        <v>38</v>
      </c>
      <c r="M9">
        <v>3</v>
      </c>
      <c r="N9">
        <v>5.8</v>
      </c>
      <c r="O9">
        <v>207</v>
      </c>
      <c r="P9">
        <v>28.2</v>
      </c>
      <c r="Q9">
        <v>946</v>
      </c>
      <c r="R9">
        <v>-7.9</v>
      </c>
    </row>
    <row r="10" spans="1:18" x14ac:dyDescent="0.25">
      <c r="D10" t="s">
        <v>36</v>
      </c>
      <c r="E10" s="9">
        <f t="shared" ref="E10" si="4">DATE(2016,4,12)</f>
        <v>42472</v>
      </c>
      <c r="F10">
        <v>49.83</v>
      </c>
      <c r="G10">
        <v>157.65</v>
      </c>
      <c r="H10">
        <v>669</v>
      </c>
      <c r="I10">
        <v>705</v>
      </c>
      <c r="J10">
        <v>105</v>
      </c>
      <c r="K10">
        <v>26</v>
      </c>
      <c r="L10">
        <v>39</v>
      </c>
      <c r="M10">
        <v>4</v>
      </c>
      <c r="N10">
        <v>7</v>
      </c>
      <c r="O10">
        <v>285</v>
      </c>
      <c r="P10">
        <v>21</v>
      </c>
      <c r="Q10">
        <v>944</v>
      </c>
      <c r="R10">
        <v>-11</v>
      </c>
    </row>
    <row r="11" spans="1:18" x14ac:dyDescent="0.25">
      <c r="D11" t="s">
        <v>38</v>
      </c>
      <c r="E11" s="9">
        <f t="shared" ref="E11" si="5">DATE(2016,4,13)</f>
        <v>42473</v>
      </c>
      <c r="F11">
        <v>56.67</v>
      </c>
      <c r="G11">
        <v>407.49</v>
      </c>
      <c r="H11">
        <v>882</v>
      </c>
      <c r="I11">
        <v>853</v>
      </c>
      <c r="J11">
        <v>144</v>
      </c>
      <c r="K11">
        <v>28</v>
      </c>
      <c r="L11">
        <v>37</v>
      </c>
      <c r="M11">
        <v>4.7</v>
      </c>
      <c r="N11">
        <v>7.8</v>
      </c>
      <c r="O11">
        <v>286</v>
      </c>
      <c r="P11">
        <v>25</v>
      </c>
      <c r="Q11">
        <v>942</v>
      </c>
      <c r="R11">
        <v>-17</v>
      </c>
    </row>
    <row r="12" spans="1:18" x14ac:dyDescent="0.25">
      <c r="D12" t="s">
        <v>39</v>
      </c>
      <c r="E12" s="9">
        <f t="shared" ref="E12" si="6">DATE(2016,4,14)</f>
        <v>42474</v>
      </c>
      <c r="F12">
        <v>57</v>
      </c>
      <c r="G12">
        <v>234.85</v>
      </c>
      <c r="H12">
        <v>658</v>
      </c>
      <c r="I12">
        <v>613</v>
      </c>
      <c r="J12">
        <v>176</v>
      </c>
      <c r="K12">
        <v>31</v>
      </c>
      <c r="L12">
        <v>24</v>
      </c>
      <c r="M12">
        <v>3.3</v>
      </c>
      <c r="N12">
        <v>5.3</v>
      </c>
      <c r="O12">
        <v>285</v>
      </c>
      <c r="P12">
        <v>23</v>
      </c>
      <c r="Q12">
        <v>942</v>
      </c>
      <c r="R12">
        <v>-15</v>
      </c>
    </row>
    <row r="13" spans="1:18" x14ac:dyDescent="0.25">
      <c r="D13" s="11" t="s">
        <v>38</v>
      </c>
      <c r="E13" s="9">
        <f t="shared" ref="E13" si="7">DATE(2016,4,15)</f>
        <v>42475</v>
      </c>
      <c r="F13">
        <v>30.61</v>
      </c>
      <c r="G13">
        <v>51.14</v>
      </c>
      <c r="H13">
        <v>679</v>
      </c>
      <c r="I13">
        <v>530</v>
      </c>
      <c r="J13">
        <v>229</v>
      </c>
      <c r="K13">
        <v>32</v>
      </c>
      <c r="L13">
        <v>24</v>
      </c>
      <c r="M13">
        <v>2.9</v>
      </c>
      <c r="N13">
        <v>4.8</v>
      </c>
      <c r="O13">
        <v>261</v>
      </c>
      <c r="P13">
        <v>21</v>
      </c>
      <c r="Q13">
        <v>943</v>
      </c>
      <c r="R13">
        <v>-17</v>
      </c>
    </row>
    <row r="14" spans="1:18" x14ac:dyDescent="0.25">
      <c r="D14" t="s">
        <v>45</v>
      </c>
      <c r="E14" s="9">
        <f t="shared" ref="E14" si="8">DATE(2016,4,19)</f>
        <v>42479</v>
      </c>
      <c r="F14">
        <v>315.57</v>
      </c>
      <c r="G14">
        <v>458.19</v>
      </c>
      <c r="H14">
        <v>328</v>
      </c>
      <c r="I14">
        <v>261</v>
      </c>
      <c r="J14">
        <v>177</v>
      </c>
      <c r="K14">
        <v>26.3</v>
      </c>
      <c r="L14">
        <v>35</v>
      </c>
      <c r="M14">
        <v>3.2</v>
      </c>
      <c r="N14">
        <v>6.2</v>
      </c>
      <c r="O14">
        <v>103</v>
      </c>
      <c r="P14">
        <v>28.2</v>
      </c>
      <c r="Q14">
        <v>947</v>
      </c>
      <c r="R14">
        <v>-0.4</v>
      </c>
    </row>
    <row r="15" spans="1:18" x14ac:dyDescent="0.25">
      <c r="D15" t="s">
        <v>47</v>
      </c>
      <c r="E15" s="9">
        <f t="shared" ref="E15" si="9">DATE(2016,4,20)</f>
        <v>42480</v>
      </c>
      <c r="F15">
        <v>61.56</v>
      </c>
      <c r="G15">
        <v>87.94</v>
      </c>
      <c r="H15">
        <v>725</v>
      </c>
      <c r="I15">
        <v>788</v>
      </c>
      <c r="J15">
        <v>124</v>
      </c>
      <c r="K15">
        <v>28.7</v>
      </c>
      <c r="L15">
        <v>35</v>
      </c>
      <c r="M15">
        <v>5.0999999999999996</v>
      </c>
      <c r="N15">
        <v>8</v>
      </c>
      <c r="O15">
        <v>288</v>
      </c>
      <c r="P15">
        <v>20.8</v>
      </c>
      <c r="Q15">
        <v>947</v>
      </c>
      <c r="R15">
        <v>-13.1</v>
      </c>
    </row>
    <row r="17" spans="3:3" x14ac:dyDescent="0.25">
      <c r="C17">
        <f>CORREL(F6:F15,M6:M15)</f>
        <v>-0.13797495433702231</v>
      </c>
    </row>
    <row r="18" spans="3:3" x14ac:dyDescent="0.25">
      <c r="C18">
        <f>CORREL(G6:G15,M6:M15)</f>
        <v>5.8667766028422094E-2</v>
      </c>
    </row>
    <row r="19" spans="3:3" x14ac:dyDescent="0.25">
      <c r="C19">
        <f>CORREL(F6:F15,N6:N15)</f>
        <v>3.0671008183702584E-2</v>
      </c>
    </row>
    <row r="20" spans="3:3" x14ac:dyDescent="0.25">
      <c r="C20">
        <f>CORREL(G6:G15,N6:N15)</f>
        <v>0.2489370645909677</v>
      </c>
    </row>
    <row r="21" spans="3:3" x14ac:dyDescent="0.25">
      <c r="C21">
        <f>CORREL(F6:F15,L6:L15)</f>
        <v>0.10061969447249219</v>
      </c>
    </row>
    <row r="22" spans="3:3" x14ac:dyDescent="0.25">
      <c r="C22">
        <f>CORREL(G6:G15,L6:L15)</f>
        <v>-4.467721429032661E-2</v>
      </c>
    </row>
    <row r="23" spans="3:3" x14ac:dyDescent="0.25">
      <c r="C23">
        <f>CORREL(F6:F15,K6:K15)</f>
        <v>-0.37459646189254076</v>
      </c>
    </row>
    <row r="24" spans="3:3" x14ac:dyDescent="0.25">
      <c r="C24">
        <f>CORREL(G6:G15,K6:K15)</f>
        <v>-0.14112284917499321</v>
      </c>
    </row>
  </sheetData>
  <mergeCells count="4">
    <mergeCell ref="A1:R1"/>
    <mergeCell ref="F2:G2"/>
    <mergeCell ref="H2:R2"/>
    <mergeCell ref="F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selection activeCell="C18" sqref="C18"/>
    </sheetView>
  </sheetViews>
  <sheetFormatPr defaultRowHeight="15" x14ac:dyDescent="0.25"/>
  <cols>
    <col min="1" max="1" width="11" customWidth="1"/>
    <col min="2" max="2" width="12.28515625" customWidth="1"/>
    <col min="3" max="3" width="11.85546875" customWidth="1"/>
    <col min="4" max="4" width="11.28515625" customWidth="1"/>
    <col min="5" max="5" width="10.85546875" customWidth="1"/>
  </cols>
  <sheetData>
    <row r="1" spans="1:18" x14ac:dyDescent="0.25">
      <c r="A1" s="55" t="s">
        <v>71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x14ac:dyDescent="0.25">
      <c r="A2" s="15" t="s">
        <v>49</v>
      </c>
      <c r="B2" s="15" t="s">
        <v>50</v>
      </c>
      <c r="C2" s="15" t="s">
        <v>0</v>
      </c>
      <c r="D2" s="16" t="s">
        <v>63</v>
      </c>
      <c r="E2" s="15" t="s">
        <v>6</v>
      </c>
      <c r="F2" s="50" t="s">
        <v>1</v>
      </c>
      <c r="G2" s="50"/>
      <c r="H2" s="51" t="s">
        <v>5</v>
      </c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15.75" x14ac:dyDescent="0.3">
      <c r="A3" s="12"/>
      <c r="B3" s="12"/>
      <c r="C3" s="1"/>
      <c r="D3" s="1"/>
      <c r="E3" s="1"/>
      <c r="F3" s="52" t="s">
        <v>2</v>
      </c>
      <c r="G3" s="53"/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12"/>
      <c r="B4" s="12"/>
      <c r="C4" s="1"/>
      <c r="D4" s="1"/>
      <c r="E4" s="1"/>
      <c r="F4" s="17" t="s">
        <v>3</v>
      </c>
      <c r="G4" s="17" t="s">
        <v>4</v>
      </c>
      <c r="H4" s="4" t="s">
        <v>18</v>
      </c>
      <c r="I4" s="4" t="s">
        <v>18</v>
      </c>
      <c r="J4" s="5" t="s">
        <v>18</v>
      </c>
      <c r="K4" s="4" t="s">
        <v>19</v>
      </c>
      <c r="L4" s="4" t="s">
        <v>20</v>
      </c>
      <c r="M4" s="6" t="s">
        <v>21</v>
      </c>
      <c r="N4" s="6" t="s">
        <v>21</v>
      </c>
      <c r="O4" s="6" t="s">
        <v>22</v>
      </c>
      <c r="P4" s="6" t="s">
        <v>22</v>
      </c>
      <c r="Q4" s="6" t="s">
        <v>23</v>
      </c>
      <c r="R4" s="7" t="s">
        <v>18</v>
      </c>
    </row>
    <row r="5" spans="1:18" x14ac:dyDescent="0.25">
      <c r="A5" s="12"/>
      <c r="B5" s="12"/>
      <c r="C5" s="1"/>
      <c r="D5" s="1"/>
      <c r="E5" s="1"/>
      <c r="F5" s="1"/>
      <c r="G5" s="1"/>
      <c r="H5" s="8" t="s">
        <v>24</v>
      </c>
      <c r="I5" s="8" t="s">
        <v>24</v>
      </c>
      <c r="J5" s="8" t="s">
        <v>24</v>
      </c>
      <c r="K5" s="8" t="s">
        <v>24</v>
      </c>
      <c r="L5" s="8" t="s">
        <v>24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24</v>
      </c>
      <c r="R5" s="8" t="s">
        <v>24</v>
      </c>
    </row>
    <row r="6" spans="1:18" x14ac:dyDescent="0.25">
      <c r="A6" t="s">
        <v>57</v>
      </c>
      <c r="B6" t="s">
        <v>58</v>
      </c>
      <c r="C6">
        <v>4</v>
      </c>
      <c r="D6" s="11" t="s">
        <v>28</v>
      </c>
      <c r="E6" s="14">
        <f t="shared" ref="E6" si="0">DATE(2016,4,5)</f>
        <v>42465</v>
      </c>
      <c r="F6">
        <v>45.65</v>
      </c>
      <c r="G6">
        <v>929.34</v>
      </c>
      <c r="H6">
        <v>726</v>
      </c>
      <c r="I6">
        <v>637</v>
      </c>
      <c r="J6">
        <v>223</v>
      </c>
      <c r="K6">
        <v>28.1</v>
      </c>
      <c r="L6">
        <v>33</v>
      </c>
      <c r="M6">
        <v>1.7</v>
      </c>
      <c r="N6">
        <v>3.5</v>
      </c>
      <c r="O6">
        <v>124</v>
      </c>
      <c r="P6">
        <v>28.8</v>
      </c>
      <c r="Q6">
        <v>946</v>
      </c>
      <c r="R6">
        <v>-6.8</v>
      </c>
    </row>
    <row r="7" spans="1:18" x14ac:dyDescent="0.25">
      <c r="D7" s="11" t="s">
        <v>31</v>
      </c>
      <c r="E7" s="9">
        <f t="shared" ref="E7" si="1">DATE(2016,4,6)</f>
        <v>42466</v>
      </c>
      <c r="F7">
        <v>46.19</v>
      </c>
      <c r="G7">
        <v>71.19</v>
      </c>
      <c r="H7">
        <v>325</v>
      </c>
      <c r="I7">
        <v>47</v>
      </c>
      <c r="J7">
        <v>297</v>
      </c>
      <c r="K7">
        <v>21.9</v>
      </c>
      <c r="L7">
        <v>49</v>
      </c>
      <c r="M7">
        <v>3.6</v>
      </c>
      <c r="N7">
        <v>5.7</v>
      </c>
      <c r="O7">
        <v>245</v>
      </c>
      <c r="P7">
        <v>17.3</v>
      </c>
      <c r="Q7">
        <v>946</v>
      </c>
      <c r="R7">
        <v>-1.2</v>
      </c>
    </row>
    <row r="8" spans="1:18" x14ac:dyDescent="0.25">
      <c r="D8" s="11" t="s">
        <v>33</v>
      </c>
      <c r="E8" s="9">
        <f t="shared" ref="E8" si="2">DATE(2016,4,7)</f>
        <v>42467</v>
      </c>
      <c r="F8">
        <v>341.84</v>
      </c>
      <c r="G8">
        <v>361.95</v>
      </c>
      <c r="H8">
        <v>633</v>
      </c>
      <c r="I8">
        <v>606</v>
      </c>
      <c r="J8">
        <v>168</v>
      </c>
      <c r="K8">
        <v>25.7</v>
      </c>
      <c r="L8">
        <v>38</v>
      </c>
      <c r="M8">
        <v>3</v>
      </c>
      <c r="N8">
        <v>5.8</v>
      </c>
      <c r="O8">
        <v>207</v>
      </c>
      <c r="P8">
        <v>28.2</v>
      </c>
      <c r="Q8">
        <v>946</v>
      </c>
      <c r="R8">
        <v>-7.9</v>
      </c>
    </row>
    <row r="9" spans="1:18" x14ac:dyDescent="0.25">
      <c r="D9" t="s">
        <v>35</v>
      </c>
      <c r="E9" s="9">
        <f t="shared" ref="E9" si="3">DATE(2016,4,8)</f>
        <v>42468</v>
      </c>
      <c r="F9">
        <v>198.91</v>
      </c>
      <c r="G9">
        <v>173.36</v>
      </c>
      <c r="H9">
        <v>648</v>
      </c>
      <c r="I9">
        <v>374</v>
      </c>
      <c r="J9">
        <v>328</v>
      </c>
      <c r="K9">
        <v>27.7</v>
      </c>
      <c r="L9">
        <v>32</v>
      </c>
      <c r="M9">
        <v>1.8</v>
      </c>
      <c r="N9">
        <v>3.6</v>
      </c>
      <c r="O9">
        <v>153</v>
      </c>
      <c r="P9">
        <v>31</v>
      </c>
      <c r="Q9">
        <v>947</v>
      </c>
      <c r="R9">
        <v>-8.6</v>
      </c>
    </row>
    <row r="10" spans="1:18" x14ac:dyDescent="0.25">
      <c r="D10" t="s">
        <v>36</v>
      </c>
      <c r="E10" s="9">
        <f t="shared" ref="E10" si="4">DATE(2016,4,12)</f>
        <v>42472</v>
      </c>
      <c r="F10">
        <v>168</v>
      </c>
      <c r="G10">
        <v>150.81</v>
      </c>
      <c r="H10">
        <v>669</v>
      </c>
      <c r="I10">
        <v>705</v>
      </c>
      <c r="J10">
        <v>105</v>
      </c>
      <c r="K10">
        <v>26</v>
      </c>
      <c r="L10">
        <v>39</v>
      </c>
      <c r="M10">
        <v>4</v>
      </c>
      <c r="N10">
        <v>7</v>
      </c>
      <c r="O10">
        <v>285</v>
      </c>
      <c r="P10">
        <v>21</v>
      </c>
      <c r="Q10">
        <v>944</v>
      </c>
      <c r="R10">
        <v>-11</v>
      </c>
    </row>
    <row r="11" spans="1:18" x14ac:dyDescent="0.25">
      <c r="D11" t="s">
        <v>38</v>
      </c>
      <c r="E11" s="9">
        <f t="shared" ref="E11" si="5">DATE(2016,4,13)</f>
        <v>42473</v>
      </c>
      <c r="F11">
        <v>171</v>
      </c>
      <c r="G11">
        <v>234.85</v>
      </c>
      <c r="H11">
        <v>882</v>
      </c>
      <c r="I11">
        <v>853</v>
      </c>
      <c r="J11">
        <v>144</v>
      </c>
      <c r="K11">
        <v>28</v>
      </c>
      <c r="L11">
        <v>37</v>
      </c>
      <c r="M11">
        <v>4.7</v>
      </c>
      <c r="N11">
        <v>7.8</v>
      </c>
      <c r="O11">
        <v>286</v>
      </c>
      <c r="P11">
        <v>25</v>
      </c>
      <c r="Q11">
        <v>942</v>
      </c>
      <c r="R11">
        <v>-17</v>
      </c>
    </row>
    <row r="12" spans="1:18" x14ac:dyDescent="0.25">
      <c r="D12" t="s">
        <v>39</v>
      </c>
      <c r="E12" s="9">
        <f t="shared" ref="E12" si="6">DATE(2016,4,14)</f>
        <v>42474</v>
      </c>
      <c r="F12">
        <v>62.86</v>
      </c>
      <c r="G12">
        <v>148.85</v>
      </c>
      <c r="H12">
        <v>658</v>
      </c>
      <c r="I12">
        <v>613</v>
      </c>
      <c r="J12">
        <v>176</v>
      </c>
      <c r="K12">
        <v>31</v>
      </c>
      <c r="L12">
        <v>24</v>
      </c>
      <c r="M12">
        <v>3.3</v>
      </c>
      <c r="N12">
        <v>5.3</v>
      </c>
      <c r="O12">
        <v>285</v>
      </c>
      <c r="P12">
        <v>23</v>
      </c>
      <c r="Q12">
        <v>942</v>
      </c>
      <c r="R12">
        <v>-15</v>
      </c>
    </row>
    <row r="13" spans="1:18" x14ac:dyDescent="0.25">
      <c r="D13" s="11" t="s">
        <v>41</v>
      </c>
      <c r="E13" s="9">
        <f t="shared" ref="E13" si="7">DATE(2016,4,15)</f>
        <v>42475</v>
      </c>
      <c r="F13">
        <v>61.88</v>
      </c>
      <c r="G13">
        <v>116.61</v>
      </c>
      <c r="H13">
        <v>679</v>
      </c>
      <c r="I13">
        <v>530</v>
      </c>
      <c r="J13">
        <v>229</v>
      </c>
      <c r="K13">
        <v>32</v>
      </c>
      <c r="L13">
        <v>24</v>
      </c>
      <c r="M13">
        <v>2.9</v>
      </c>
      <c r="N13">
        <v>4.8</v>
      </c>
      <c r="O13">
        <v>261</v>
      </c>
      <c r="P13">
        <v>21</v>
      </c>
      <c r="Q13">
        <v>943</v>
      </c>
      <c r="R13">
        <v>-17</v>
      </c>
    </row>
    <row r="14" spans="1:18" x14ac:dyDescent="0.25">
      <c r="D14" t="s">
        <v>43</v>
      </c>
      <c r="E14" s="9">
        <f t="shared" ref="E14" si="8">DATE(2016,4,18)</f>
        <v>42478</v>
      </c>
      <c r="F14">
        <v>2</v>
      </c>
      <c r="G14">
        <v>5.53</v>
      </c>
      <c r="H14">
        <v>686</v>
      </c>
      <c r="I14">
        <v>660</v>
      </c>
      <c r="J14">
        <v>166</v>
      </c>
      <c r="K14">
        <v>29</v>
      </c>
      <c r="L14">
        <v>39</v>
      </c>
      <c r="M14">
        <v>3.4</v>
      </c>
      <c r="N14">
        <v>5.5</v>
      </c>
      <c r="O14">
        <v>267</v>
      </c>
      <c r="P14">
        <v>21</v>
      </c>
      <c r="Q14">
        <v>945</v>
      </c>
      <c r="R14">
        <v>-13</v>
      </c>
    </row>
    <row r="16" spans="1:18" x14ac:dyDescent="0.25">
      <c r="C16">
        <f>CORREL(F6:F14,M6:M14)</f>
        <v>3.753997385376473E-2</v>
      </c>
    </row>
    <row r="17" spans="3:3" x14ac:dyDescent="0.25">
      <c r="C17">
        <f>CORREL(G6:G14,M6:M14)</f>
        <v>-0.53098558793593653</v>
      </c>
    </row>
  </sheetData>
  <mergeCells count="4">
    <mergeCell ref="A1:R1"/>
    <mergeCell ref="F2:G2"/>
    <mergeCell ref="H2:R2"/>
    <mergeCell ref="F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B20" sqref="B20"/>
    </sheetView>
  </sheetViews>
  <sheetFormatPr defaultRowHeight="15" x14ac:dyDescent="0.25"/>
  <cols>
    <col min="1" max="1" width="11.5703125" customWidth="1"/>
    <col min="2" max="2" width="11" customWidth="1"/>
    <col min="4" max="5" width="11.140625" customWidth="1"/>
  </cols>
  <sheetData>
    <row r="1" spans="1:18" x14ac:dyDescent="0.25">
      <c r="A1" s="55" t="s">
        <v>72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x14ac:dyDescent="0.25">
      <c r="A2" s="15" t="s">
        <v>49</v>
      </c>
      <c r="B2" s="15" t="s">
        <v>50</v>
      </c>
      <c r="C2" s="15" t="s">
        <v>0</v>
      </c>
      <c r="D2" s="16" t="s">
        <v>63</v>
      </c>
      <c r="E2" s="15" t="s">
        <v>6</v>
      </c>
      <c r="F2" s="50" t="s">
        <v>1</v>
      </c>
      <c r="G2" s="50"/>
      <c r="H2" s="51" t="s">
        <v>5</v>
      </c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15.75" x14ac:dyDescent="0.3">
      <c r="A3" s="12"/>
      <c r="B3" s="12"/>
      <c r="C3" s="1"/>
      <c r="D3" s="1"/>
      <c r="E3" s="1"/>
      <c r="F3" s="52" t="s">
        <v>2</v>
      </c>
      <c r="G3" s="53"/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12"/>
      <c r="B4" s="12"/>
      <c r="C4" s="1"/>
      <c r="D4" s="1"/>
      <c r="E4" s="1"/>
      <c r="F4" s="17" t="s">
        <v>3</v>
      </c>
      <c r="G4" s="17" t="s">
        <v>4</v>
      </c>
      <c r="H4" s="4" t="s">
        <v>18</v>
      </c>
      <c r="I4" s="4" t="s">
        <v>18</v>
      </c>
      <c r="J4" s="5" t="s">
        <v>18</v>
      </c>
      <c r="K4" s="4" t="s">
        <v>19</v>
      </c>
      <c r="L4" s="4" t="s">
        <v>20</v>
      </c>
      <c r="M4" s="6" t="s">
        <v>21</v>
      </c>
      <c r="N4" s="6" t="s">
        <v>21</v>
      </c>
      <c r="O4" s="6" t="s">
        <v>22</v>
      </c>
      <c r="P4" s="6" t="s">
        <v>22</v>
      </c>
      <c r="Q4" s="6" t="s">
        <v>23</v>
      </c>
      <c r="R4" s="7" t="s">
        <v>18</v>
      </c>
    </row>
    <row r="5" spans="1:18" x14ac:dyDescent="0.25">
      <c r="A5" s="12"/>
      <c r="B5" s="12"/>
      <c r="C5" s="1"/>
      <c r="D5" s="1"/>
      <c r="E5" s="1"/>
      <c r="F5" s="1"/>
      <c r="G5" s="1"/>
      <c r="H5" s="8" t="s">
        <v>24</v>
      </c>
      <c r="I5" s="8" t="s">
        <v>24</v>
      </c>
      <c r="J5" s="8" t="s">
        <v>24</v>
      </c>
      <c r="K5" s="8" t="s">
        <v>24</v>
      </c>
      <c r="L5" s="8" t="s">
        <v>24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24</v>
      </c>
      <c r="R5" s="8" t="s">
        <v>24</v>
      </c>
    </row>
    <row r="6" spans="1:18" x14ac:dyDescent="0.25">
      <c r="A6" t="s">
        <v>59</v>
      </c>
      <c r="B6" t="s">
        <v>60</v>
      </c>
      <c r="C6">
        <v>5</v>
      </c>
      <c r="D6" s="11" t="s">
        <v>29</v>
      </c>
      <c r="E6" s="9">
        <f t="shared" ref="E6" si="0">DATE(2016,4,4)</f>
        <v>42464</v>
      </c>
      <c r="F6">
        <v>5.53</v>
      </c>
      <c r="G6">
        <v>121.17</v>
      </c>
      <c r="H6">
        <v>814</v>
      </c>
      <c r="I6">
        <v>772</v>
      </c>
      <c r="J6">
        <v>187</v>
      </c>
      <c r="K6">
        <v>25</v>
      </c>
      <c r="L6">
        <v>50</v>
      </c>
      <c r="M6">
        <v>4.7</v>
      </c>
      <c r="N6">
        <v>7.3</v>
      </c>
      <c r="O6">
        <v>270</v>
      </c>
      <c r="P6">
        <v>18</v>
      </c>
      <c r="Q6">
        <v>945</v>
      </c>
      <c r="R6">
        <v>-17.2</v>
      </c>
    </row>
    <row r="7" spans="1:18" x14ac:dyDescent="0.25">
      <c r="D7" s="11" t="s">
        <v>28</v>
      </c>
      <c r="E7" s="14">
        <f t="shared" ref="E7" si="1">DATE(2016,4,5)</f>
        <v>42465</v>
      </c>
      <c r="F7">
        <v>4.34</v>
      </c>
      <c r="G7">
        <v>19.559999999999999</v>
      </c>
      <c r="H7">
        <v>726</v>
      </c>
      <c r="I7">
        <v>637</v>
      </c>
      <c r="J7">
        <v>223</v>
      </c>
      <c r="K7">
        <v>28.1</v>
      </c>
      <c r="L7">
        <v>33</v>
      </c>
      <c r="M7">
        <v>1.7</v>
      </c>
      <c r="N7">
        <v>3.5</v>
      </c>
      <c r="O7">
        <v>124</v>
      </c>
      <c r="P7">
        <v>28.8</v>
      </c>
      <c r="Q7">
        <v>946</v>
      </c>
      <c r="R7">
        <v>-6.8</v>
      </c>
    </row>
    <row r="8" spans="1:18" x14ac:dyDescent="0.25">
      <c r="D8" s="11" t="s">
        <v>33</v>
      </c>
      <c r="E8" s="9">
        <f t="shared" ref="E8" si="2">DATE(2016,4,7)</f>
        <v>42467</v>
      </c>
      <c r="F8">
        <v>20.65</v>
      </c>
      <c r="G8">
        <v>44.02</v>
      </c>
      <c r="H8">
        <v>633</v>
      </c>
      <c r="I8">
        <v>606</v>
      </c>
      <c r="J8">
        <v>168</v>
      </c>
      <c r="K8">
        <v>25.7</v>
      </c>
      <c r="L8">
        <v>38</v>
      </c>
      <c r="M8">
        <v>3</v>
      </c>
      <c r="N8">
        <v>5.8</v>
      </c>
      <c r="O8">
        <v>207</v>
      </c>
      <c r="P8">
        <v>28.2</v>
      </c>
      <c r="Q8">
        <v>946</v>
      </c>
      <c r="R8">
        <v>-7.9</v>
      </c>
    </row>
    <row r="9" spans="1:18" x14ac:dyDescent="0.25">
      <c r="D9" t="s">
        <v>35</v>
      </c>
      <c r="E9" s="9">
        <f t="shared" ref="E9" si="3">DATE(2016,4,8)</f>
        <v>42468</v>
      </c>
      <c r="F9">
        <v>11.41</v>
      </c>
      <c r="G9">
        <v>11.41</v>
      </c>
      <c r="H9">
        <v>648</v>
      </c>
      <c r="I9">
        <v>374</v>
      </c>
      <c r="J9">
        <v>328</v>
      </c>
      <c r="K9">
        <v>27.7</v>
      </c>
      <c r="L9">
        <v>32</v>
      </c>
      <c r="M9">
        <v>1.8</v>
      </c>
      <c r="N9">
        <v>3.6</v>
      </c>
      <c r="O9">
        <v>153</v>
      </c>
      <c r="P9">
        <v>31</v>
      </c>
      <c r="Q9">
        <v>947</v>
      </c>
      <c r="R9">
        <v>-8.6</v>
      </c>
    </row>
    <row r="10" spans="1:18" x14ac:dyDescent="0.25">
      <c r="D10" t="s">
        <v>37</v>
      </c>
      <c r="E10" s="9">
        <f t="shared" ref="E10" si="4">DATE(2016,4,12)</f>
        <v>42472</v>
      </c>
      <c r="F10">
        <v>105.86</v>
      </c>
      <c r="G10">
        <v>90.55</v>
      </c>
      <c r="H10">
        <v>669</v>
      </c>
      <c r="I10">
        <v>705</v>
      </c>
      <c r="J10">
        <v>105</v>
      </c>
      <c r="K10">
        <v>26</v>
      </c>
      <c r="L10">
        <v>39</v>
      </c>
      <c r="M10">
        <v>4</v>
      </c>
      <c r="N10">
        <v>7</v>
      </c>
      <c r="O10">
        <v>285</v>
      </c>
      <c r="P10">
        <v>21</v>
      </c>
      <c r="Q10">
        <v>944</v>
      </c>
      <c r="R10">
        <v>-11</v>
      </c>
    </row>
    <row r="11" spans="1:18" x14ac:dyDescent="0.25">
      <c r="D11" t="s">
        <v>38</v>
      </c>
      <c r="E11" s="9">
        <f t="shared" ref="E11" si="5">DATE(2016,4,13)</f>
        <v>42473</v>
      </c>
      <c r="F11">
        <v>30.94</v>
      </c>
      <c r="G11">
        <v>175.57</v>
      </c>
      <c r="H11">
        <v>882</v>
      </c>
      <c r="I11">
        <v>853</v>
      </c>
      <c r="J11">
        <v>144</v>
      </c>
      <c r="K11">
        <v>28</v>
      </c>
      <c r="L11">
        <v>37</v>
      </c>
      <c r="M11">
        <v>4.7</v>
      </c>
      <c r="N11">
        <v>7.8</v>
      </c>
      <c r="O11">
        <v>286</v>
      </c>
      <c r="P11">
        <v>25</v>
      </c>
      <c r="Q11">
        <v>942</v>
      </c>
      <c r="R11">
        <v>-17</v>
      </c>
    </row>
    <row r="12" spans="1:18" x14ac:dyDescent="0.25">
      <c r="D12" t="s">
        <v>39</v>
      </c>
      <c r="E12" s="9">
        <f t="shared" ref="E12" si="6">DATE(2016,4,14)</f>
        <v>42474</v>
      </c>
      <c r="F12">
        <v>13.68</v>
      </c>
      <c r="G12">
        <v>70.680000000000007</v>
      </c>
      <c r="H12">
        <v>658</v>
      </c>
      <c r="I12">
        <v>613</v>
      </c>
      <c r="J12">
        <v>176</v>
      </c>
      <c r="K12">
        <v>31</v>
      </c>
      <c r="L12">
        <v>24</v>
      </c>
      <c r="M12">
        <v>3.3</v>
      </c>
      <c r="N12">
        <v>5.3</v>
      </c>
      <c r="O12">
        <v>285</v>
      </c>
      <c r="P12">
        <v>23</v>
      </c>
      <c r="Q12">
        <v>942</v>
      </c>
      <c r="R12">
        <v>-15</v>
      </c>
    </row>
    <row r="13" spans="1:18" x14ac:dyDescent="0.25">
      <c r="D13" s="11" t="s">
        <v>38</v>
      </c>
      <c r="E13" s="9">
        <f t="shared" ref="E13" si="7">DATE(2016,4,15)</f>
        <v>42475</v>
      </c>
      <c r="F13">
        <v>4.2300000000000004</v>
      </c>
      <c r="G13">
        <v>48.2</v>
      </c>
      <c r="H13">
        <v>679</v>
      </c>
      <c r="I13">
        <v>530</v>
      </c>
      <c r="J13">
        <v>229</v>
      </c>
      <c r="K13">
        <v>32</v>
      </c>
      <c r="L13">
        <v>24</v>
      </c>
      <c r="M13">
        <v>2.9</v>
      </c>
      <c r="N13">
        <v>4.8</v>
      </c>
      <c r="O13">
        <v>261</v>
      </c>
      <c r="P13">
        <v>21</v>
      </c>
      <c r="Q13">
        <v>943</v>
      </c>
      <c r="R13">
        <v>-17</v>
      </c>
    </row>
    <row r="14" spans="1:18" x14ac:dyDescent="0.25">
      <c r="D14" t="s">
        <v>37</v>
      </c>
      <c r="E14" s="9">
        <f t="shared" ref="E14" si="8">DATE(2016,4,18)</f>
        <v>42478</v>
      </c>
      <c r="F14">
        <v>29.64</v>
      </c>
      <c r="G14">
        <v>44.62</v>
      </c>
      <c r="H14">
        <v>686</v>
      </c>
      <c r="I14">
        <v>660</v>
      </c>
      <c r="J14">
        <v>166</v>
      </c>
      <c r="K14">
        <v>29</v>
      </c>
      <c r="L14">
        <v>39</v>
      </c>
      <c r="M14">
        <v>3.4</v>
      </c>
      <c r="N14">
        <v>5.5</v>
      </c>
      <c r="O14">
        <v>267</v>
      </c>
      <c r="P14">
        <v>21</v>
      </c>
      <c r="Q14">
        <v>945</v>
      </c>
      <c r="R14">
        <v>-13</v>
      </c>
    </row>
    <row r="15" spans="1:18" x14ac:dyDescent="0.25">
      <c r="D15" t="s">
        <v>37</v>
      </c>
      <c r="E15" s="9">
        <f t="shared" ref="E15" si="9">DATE(2016,4,19)</f>
        <v>42479</v>
      </c>
      <c r="F15">
        <v>28.68</v>
      </c>
      <c r="G15">
        <v>201.63</v>
      </c>
      <c r="H15">
        <v>328</v>
      </c>
      <c r="I15">
        <v>261</v>
      </c>
      <c r="J15">
        <v>177</v>
      </c>
      <c r="K15">
        <v>26.3</v>
      </c>
      <c r="L15">
        <v>35</v>
      </c>
      <c r="M15">
        <v>3.2</v>
      </c>
      <c r="N15">
        <v>6.2</v>
      </c>
      <c r="O15">
        <v>103</v>
      </c>
      <c r="P15">
        <v>28.2</v>
      </c>
      <c r="Q15">
        <v>947</v>
      </c>
      <c r="R15">
        <v>-0.4</v>
      </c>
    </row>
    <row r="16" spans="1:18" x14ac:dyDescent="0.25">
      <c r="D16" t="s">
        <v>47</v>
      </c>
      <c r="E16" s="9">
        <f t="shared" ref="E16" si="10">DATE(2016,4,20)</f>
        <v>42480</v>
      </c>
      <c r="F16">
        <v>2.93</v>
      </c>
      <c r="G16">
        <v>23.45</v>
      </c>
      <c r="H16">
        <v>725</v>
      </c>
      <c r="I16">
        <v>788</v>
      </c>
      <c r="J16">
        <v>124</v>
      </c>
      <c r="K16">
        <v>28.7</v>
      </c>
      <c r="L16">
        <v>35</v>
      </c>
      <c r="M16">
        <v>5.0999999999999996</v>
      </c>
      <c r="N16">
        <v>8</v>
      </c>
      <c r="O16">
        <v>288</v>
      </c>
      <c r="P16">
        <v>20.8</v>
      </c>
      <c r="Q16">
        <v>947</v>
      </c>
      <c r="R16">
        <v>-13.1</v>
      </c>
    </row>
    <row r="19" spans="2:2" x14ac:dyDescent="0.25">
      <c r="B19">
        <f>CORREL(F6:F16,M6:M16)</f>
        <v>0.1927959216331574</v>
      </c>
    </row>
  </sheetData>
  <mergeCells count="4">
    <mergeCell ref="A1:R1"/>
    <mergeCell ref="F2:G2"/>
    <mergeCell ref="H2:R2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3"/>
  <sheetViews>
    <sheetView topLeftCell="A3" workbookViewId="0">
      <selection activeCell="G7" sqref="G7"/>
    </sheetView>
  </sheetViews>
  <sheetFormatPr defaultRowHeight="15" x14ac:dyDescent="0.25"/>
  <cols>
    <col min="2" max="2" width="10.5703125" customWidth="1"/>
    <col min="3" max="3" width="11.28515625" customWidth="1"/>
    <col min="4" max="5" width="12" customWidth="1"/>
    <col min="6" max="6" width="10.85546875" customWidth="1"/>
  </cols>
  <sheetData>
    <row r="1" spans="2:19" x14ac:dyDescent="0.25">
      <c r="B1" s="55" t="s">
        <v>73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2:19" x14ac:dyDescent="0.25">
      <c r="B2" s="15" t="s">
        <v>49</v>
      </c>
      <c r="C2" s="15" t="s">
        <v>50</v>
      </c>
      <c r="D2" s="15" t="s">
        <v>0</v>
      </c>
      <c r="E2" s="16" t="s">
        <v>63</v>
      </c>
      <c r="F2" s="15" t="s">
        <v>6</v>
      </c>
      <c r="G2" s="50" t="s">
        <v>1</v>
      </c>
      <c r="H2" s="50"/>
      <c r="I2" s="51" t="s">
        <v>5</v>
      </c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2:19" ht="15.75" x14ac:dyDescent="0.3">
      <c r="B3" s="12"/>
      <c r="C3" s="12"/>
      <c r="D3" s="1"/>
      <c r="E3" s="1"/>
      <c r="F3" s="1"/>
      <c r="G3" s="52" t="s">
        <v>2</v>
      </c>
      <c r="H3" s="53"/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</row>
    <row r="4" spans="2:19" x14ac:dyDescent="0.25">
      <c r="B4" s="12"/>
      <c r="C4" s="12"/>
      <c r="D4" s="1"/>
      <c r="E4" s="1"/>
      <c r="F4" s="1"/>
      <c r="G4" s="17" t="s">
        <v>3</v>
      </c>
      <c r="H4" s="17" t="s">
        <v>4</v>
      </c>
      <c r="I4" s="4" t="s">
        <v>18</v>
      </c>
      <c r="J4" s="4" t="s">
        <v>18</v>
      </c>
      <c r="K4" s="5" t="s">
        <v>18</v>
      </c>
      <c r="L4" s="4" t="s">
        <v>19</v>
      </c>
      <c r="M4" s="4" t="s">
        <v>20</v>
      </c>
      <c r="N4" s="6" t="s">
        <v>21</v>
      </c>
      <c r="O4" s="6" t="s">
        <v>21</v>
      </c>
      <c r="P4" s="6" t="s">
        <v>22</v>
      </c>
      <c r="Q4" s="6" t="s">
        <v>22</v>
      </c>
      <c r="R4" s="6" t="s">
        <v>23</v>
      </c>
      <c r="S4" s="7" t="s">
        <v>18</v>
      </c>
    </row>
    <row r="5" spans="2:19" x14ac:dyDescent="0.25">
      <c r="B5" s="12"/>
      <c r="C5" s="12"/>
      <c r="D5" s="1"/>
      <c r="E5" s="1"/>
      <c r="F5" s="1"/>
      <c r="G5" s="1"/>
      <c r="H5" s="1"/>
      <c r="I5" s="8" t="s">
        <v>24</v>
      </c>
      <c r="J5" s="8" t="s">
        <v>24</v>
      </c>
      <c r="K5" s="8" t="s">
        <v>24</v>
      </c>
      <c r="L5" s="8" t="s">
        <v>24</v>
      </c>
      <c r="M5" s="8" t="s">
        <v>24</v>
      </c>
      <c r="N5" s="8" t="s">
        <v>24</v>
      </c>
      <c r="O5" s="8" t="s">
        <v>25</v>
      </c>
      <c r="P5" s="8" t="s">
        <v>26</v>
      </c>
      <c r="Q5" s="8" t="s">
        <v>27</v>
      </c>
      <c r="R5" s="8" t="s">
        <v>24</v>
      </c>
      <c r="S5" s="8" t="s">
        <v>24</v>
      </c>
    </row>
    <row r="6" spans="2:19" x14ac:dyDescent="0.25">
      <c r="B6" t="s">
        <v>61</v>
      </c>
      <c r="C6" t="s">
        <v>62</v>
      </c>
      <c r="D6">
        <v>6</v>
      </c>
      <c r="E6" s="11" t="s">
        <v>30</v>
      </c>
      <c r="F6" s="14">
        <f t="shared" ref="F6" si="0">DATE(2016,4,5)</f>
        <v>42465</v>
      </c>
      <c r="G6">
        <v>20.65</v>
      </c>
      <c r="H6">
        <v>265.76</v>
      </c>
      <c r="I6">
        <v>726</v>
      </c>
      <c r="J6">
        <v>637</v>
      </c>
      <c r="K6">
        <v>223</v>
      </c>
      <c r="L6">
        <v>28.1</v>
      </c>
      <c r="M6">
        <v>33</v>
      </c>
      <c r="N6">
        <v>1.7</v>
      </c>
      <c r="O6">
        <v>3.5</v>
      </c>
      <c r="P6">
        <v>124</v>
      </c>
      <c r="Q6">
        <v>28.8</v>
      </c>
      <c r="R6">
        <v>946</v>
      </c>
      <c r="S6">
        <v>-6.8</v>
      </c>
    </row>
    <row r="7" spans="2:19" x14ac:dyDescent="0.25">
      <c r="E7" t="s">
        <v>32</v>
      </c>
      <c r="F7" s="9">
        <f t="shared" ref="F7" si="1">DATE(2016,4,6)</f>
        <v>42466</v>
      </c>
      <c r="G7">
        <v>77.709999999999994</v>
      </c>
      <c r="H7">
        <v>332.06</v>
      </c>
      <c r="I7">
        <v>325</v>
      </c>
      <c r="J7">
        <v>47</v>
      </c>
      <c r="K7">
        <v>297</v>
      </c>
      <c r="L7">
        <v>21.9</v>
      </c>
      <c r="M7">
        <v>49</v>
      </c>
      <c r="N7">
        <v>3.6</v>
      </c>
      <c r="O7">
        <v>5.7</v>
      </c>
      <c r="P7">
        <v>245</v>
      </c>
      <c r="Q7">
        <v>17.3</v>
      </c>
      <c r="R7">
        <v>946</v>
      </c>
      <c r="S7">
        <v>-1.2</v>
      </c>
    </row>
    <row r="8" spans="2:19" x14ac:dyDescent="0.25">
      <c r="E8" t="s">
        <v>34</v>
      </c>
      <c r="F8" s="9">
        <f t="shared" ref="F8" si="2">DATE(2016,4,7)</f>
        <v>42467</v>
      </c>
      <c r="G8">
        <v>245.65</v>
      </c>
      <c r="H8">
        <v>317.39</v>
      </c>
      <c r="I8">
        <v>633</v>
      </c>
      <c r="J8">
        <v>606</v>
      </c>
      <c r="K8">
        <v>168</v>
      </c>
      <c r="L8">
        <v>25.7</v>
      </c>
      <c r="M8">
        <v>38</v>
      </c>
      <c r="N8">
        <v>3</v>
      </c>
      <c r="O8">
        <v>5.8</v>
      </c>
      <c r="P8">
        <v>207</v>
      </c>
      <c r="Q8">
        <v>28.2</v>
      </c>
      <c r="R8">
        <v>946</v>
      </c>
      <c r="S8">
        <v>-7.9</v>
      </c>
    </row>
    <row r="9" spans="2:19" x14ac:dyDescent="0.25">
      <c r="E9" t="s">
        <v>34</v>
      </c>
      <c r="F9" s="9">
        <f t="shared" ref="F9" si="3">DATE(2016,4,12)</f>
        <v>42472</v>
      </c>
      <c r="G9">
        <v>20.65</v>
      </c>
      <c r="H9">
        <v>109.78</v>
      </c>
      <c r="I9">
        <v>669</v>
      </c>
      <c r="J9">
        <v>705</v>
      </c>
      <c r="K9">
        <v>105</v>
      </c>
      <c r="L9">
        <v>26</v>
      </c>
      <c r="M9">
        <v>39</v>
      </c>
      <c r="N9">
        <v>4</v>
      </c>
      <c r="O9">
        <v>7</v>
      </c>
      <c r="P9">
        <v>285</v>
      </c>
      <c r="Q9">
        <v>21</v>
      </c>
      <c r="R9">
        <v>944</v>
      </c>
      <c r="S9">
        <v>-11</v>
      </c>
    </row>
    <row r="10" spans="2:19" x14ac:dyDescent="0.25">
      <c r="E10" t="s">
        <v>34</v>
      </c>
      <c r="F10" s="9">
        <f t="shared" ref="F10" si="4">DATE(2016,4,13)</f>
        <v>42473</v>
      </c>
      <c r="G10">
        <v>25.54</v>
      </c>
      <c r="H10">
        <v>135.86000000000001</v>
      </c>
      <c r="I10">
        <v>882</v>
      </c>
      <c r="J10">
        <v>853</v>
      </c>
      <c r="K10">
        <v>144</v>
      </c>
      <c r="L10">
        <v>28</v>
      </c>
      <c r="M10">
        <v>37</v>
      </c>
      <c r="N10">
        <v>4.7</v>
      </c>
      <c r="O10">
        <v>7.8</v>
      </c>
      <c r="P10">
        <v>286</v>
      </c>
      <c r="Q10">
        <v>25</v>
      </c>
      <c r="R10">
        <v>942</v>
      </c>
      <c r="S10">
        <v>-17</v>
      </c>
    </row>
    <row r="11" spans="2:19" x14ac:dyDescent="0.25">
      <c r="E11" t="s">
        <v>40</v>
      </c>
      <c r="F11" s="9">
        <f t="shared" ref="F11" si="5">DATE(2016,4,14)</f>
        <v>42474</v>
      </c>
      <c r="G11">
        <v>71.73</v>
      </c>
      <c r="H11">
        <v>210.86</v>
      </c>
      <c r="I11">
        <v>658</v>
      </c>
      <c r="J11">
        <v>613</v>
      </c>
      <c r="K11">
        <v>176</v>
      </c>
      <c r="L11">
        <v>31</v>
      </c>
      <c r="M11">
        <v>24</v>
      </c>
      <c r="N11">
        <v>3.3</v>
      </c>
      <c r="O11">
        <v>5.3</v>
      </c>
      <c r="P11">
        <v>285</v>
      </c>
      <c r="Q11">
        <v>23</v>
      </c>
      <c r="R11">
        <v>942</v>
      </c>
      <c r="S11">
        <v>-15</v>
      </c>
    </row>
    <row r="12" spans="2:19" x14ac:dyDescent="0.25">
      <c r="E12" t="s">
        <v>42</v>
      </c>
      <c r="F12" s="9">
        <f t="shared" ref="F12" si="6">DATE(2016,4,15)</f>
        <v>42475</v>
      </c>
      <c r="G12">
        <v>26.08</v>
      </c>
      <c r="H12">
        <v>120.65</v>
      </c>
      <c r="I12">
        <v>679</v>
      </c>
      <c r="J12">
        <v>530</v>
      </c>
      <c r="K12">
        <v>229</v>
      </c>
      <c r="L12">
        <v>32</v>
      </c>
      <c r="M12">
        <v>24</v>
      </c>
      <c r="N12">
        <v>2.9</v>
      </c>
      <c r="O12">
        <v>4.8</v>
      </c>
      <c r="P12">
        <v>261</v>
      </c>
      <c r="Q12">
        <v>21</v>
      </c>
      <c r="R12">
        <v>943</v>
      </c>
      <c r="S12">
        <v>-17</v>
      </c>
    </row>
    <row r="13" spans="2:19" x14ac:dyDescent="0.25">
      <c r="E13" t="s">
        <v>44</v>
      </c>
      <c r="F13" s="9">
        <f t="shared" ref="F13" si="7">DATE(2016,4,18)</f>
        <v>42478</v>
      </c>
      <c r="G13">
        <v>9.44</v>
      </c>
      <c r="H13">
        <v>62.54</v>
      </c>
      <c r="I13">
        <v>686</v>
      </c>
      <c r="J13">
        <v>660</v>
      </c>
      <c r="K13">
        <v>166</v>
      </c>
      <c r="L13">
        <v>29</v>
      </c>
      <c r="M13">
        <v>39</v>
      </c>
      <c r="N13">
        <v>3.4</v>
      </c>
      <c r="O13">
        <v>5.5</v>
      </c>
      <c r="P13">
        <v>267</v>
      </c>
      <c r="Q13">
        <v>21</v>
      </c>
      <c r="R13">
        <v>945</v>
      </c>
      <c r="S13">
        <v>-13</v>
      </c>
    </row>
    <row r="14" spans="2:19" x14ac:dyDescent="0.25">
      <c r="E14" t="s">
        <v>46</v>
      </c>
      <c r="F14" s="9">
        <f t="shared" ref="F14" si="8">DATE(2016,4,19)</f>
        <v>42479</v>
      </c>
      <c r="G14">
        <v>22.82</v>
      </c>
      <c r="H14">
        <v>67.39</v>
      </c>
      <c r="I14">
        <v>328</v>
      </c>
      <c r="J14">
        <v>261</v>
      </c>
      <c r="K14">
        <v>177</v>
      </c>
      <c r="L14">
        <v>26.3</v>
      </c>
      <c r="M14">
        <v>35</v>
      </c>
      <c r="N14">
        <v>3.2</v>
      </c>
      <c r="O14">
        <v>6.2</v>
      </c>
      <c r="P14">
        <v>103</v>
      </c>
      <c r="Q14">
        <v>28.2</v>
      </c>
      <c r="R14">
        <v>947</v>
      </c>
      <c r="S14">
        <v>-0.4</v>
      </c>
    </row>
    <row r="15" spans="2:19" x14ac:dyDescent="0.25">
      <c r="E15" t="s">
        <v>48</v>
      </c>
      <c r="F15" s="9">
        <f t="shared" ref="F15" si="9">DATE(2016,4,20)</f>
        <v>42480</v>
      </c>
      <c r="G15">
        <v>22.95</v>
      </c>
      <c r="H15">
        <v>207.37</v>
      </c>
      <c r="I15">
        <v>725</v>
      </c>
      <c r="J15">
        <v>788</v>
      </c>
      <c r="K15">
        <v>124</v>
      </c>
      <c r="L15">
        <v>28.7</v>
      </c>
      <c r="M15">
        <v>35</v>
      </c>
      <c r="N15">
        <v>5.0999999999999996</v>
      </c>
      <c r="O15">
        <v>8</v>
      </c>
      <c r="P15">
        <v>288</v>
      </c>
      <c r="Q15">
        <v>20.8</v>
      </c>
      <c r="R15">
        <v>947</v>
      </c>
      <c r="S15">
        <v>-13.1</v>
      </c>
    </row>
    <row r="20" spans="2:2" x14ac:dyDescent="0.25">
      <c r="B20">
        <f>CORREL(G6:G15,N6:N15)</f>
        <v>-0.17476781633493541</v>
      </c>
    </row>
    <row r="21" spans="2:2" x14ac:dyDescent="0.25">
      <c r="B21">
        <f>CORREL(H6:H15,N6:N15)</f>
        <v>-0.20778568662843136</v>
      </c>
    </row>
    <row r="22" spans="2:2" x14ac:dyDescent="0.25">
      <c r="B22">
        <f>CORREL(G6:G15,O6:O15)</f>
        <v>-8.1841846332150747E-2</v>
      </c>
    </row>
    <row r="23" spans="2:2" x14ac:dyDescent="0.25">
      <c r="B23">
        <f>CORREL(H6:H15,O6:O15)</f>
        <v>-0.24300086452576183</v>
      </c>
    </row>
  </sheetData>
  <mergeCells count="4">
    <mergeCell ref="B1:S1"/>
    <mergeCell ref="G2:H2"/>
    <mergeCell ref="I2:S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Station1</vt:lpstr>
      <vt:lpstr>Sheet3</vt:lpstr>
      <vt:lpstr>Station2</vt:lpstr>
      <vt:lpstr>station3</vt:lpstr>
      <vt:lpstr>Station4</vt:lpstr>
      <vt:lpstr>Station5</vt:lpstr>
      <vt:lpstr>Station6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Filza</dc:creator>
  <cp:lastModifiedBy>Filza</cp:lastModifiedBy>
  <dcterms:created xsi:type="dcterms:W3CDTF">2017-01-26T06:01:16Z</dcterms:created>
  <dcterms:modified xsi:type="dcterms:W3CDTF">2017-02-11T11:23:43Z</dcterms:modified>
</cp:coreProperties>
</file>