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S thesis\write up papers\field survey strategy\"/>
    </mc:Choice>
  </mc:AlternateContent>
  <bookViews>
    <workbookView xWindow="0" yWindow="0" windowWidth="20490" windowHeight="7755" activeTab="1"/>
  </bookViews>
  <sheets>
    <sheet name="4th" sheetId="8" r:id="rId1"/>
    <sheet name="Sheet3" sheetId="22" r:id="rId2"/>
    <sheet name="5th" sheetId="9" r:id="rId3"/>
    <sheet name="6th" sheetId="10" r:id="rId4"/>
    <sheet name="7th" sheetId="7" r:id="rId5"/>
    <sheet name="8th" sheetId="6" r:id="rId6"/>
    <sheet name="12" sheetId="5" r:id="rId7"/>
    <sheet name="13" sheetId="4" r:id="rId8"/>
    <sheet name="14" sheetId="3" r:id="rId9"/>
    <sheet name="15" sheetId="1" r:id="rId10"/>
    <sheet name="18" sheetId="2" r:id="rId11"/>
    <sheet name="19th" sheetId="11" r:id="rId12"/>
    <sheet name="20th" sheetId="12" r:id="rId13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2" l="1"/>
  <c r="A1" i="11"/>
  <c r="A1" i="10" l="1"/>
  <c r="A1" i="9"/>
  <c r="A1" i="8"/>
  <c r="A1" i="7"/>
  <c r="A1" i="6"/>
  <c r="A1" i="5" l="1"/>
  <c r="A1" i="4" l="1"/>
  <c r="A1" i="3"/>
  <c r="A1" i="2" l="1"/>
  <c r="A1" i="1"/>
</calcChain>
</file>

<file path=xl/sharedStrings.xml><?xml version="1.0" encoding="utf-8"?>
<sst xmlns="http://schemas.openxmlformats.org/spreadsheetml/2006/main" count="297" uniqueCount="34">
  <si>
    <t>Species</t>
  </si>
  <si>
    <r>
      <t>Alternaria</t>
    </r>
    <r>
      <rPr>
        <sz val="12"/>
        <color rgb="FF222222"/>
        <rFont val="Arial"/>
        <family val="2"/>
      </rPr>
      <t xml:space="preserve"> sp</t>
    </r>
  </si>
  <si>
    <r>
      <t xml:space="preserve">Aspergillus </t>
    </r>
    <r>
      <rPr>
        <sz val="12"/>
        <color theme="1"/>
        <rFont val="Arial"/>
        <family val="2"/>
      </rPr>
      <t xml:space="preserve">spores </t>
    </r>
  </si>
  <si>
    <r>
      <t>Drechslera</t>
    </r>
    <r>
      <rPr>
        <sz val="12"/>
        <color theme="1"/>
        <rFont val="Arial"/>
        <family val="2"/>
      </rPr>
      <t xml:space="preserve"> sp</t>
    </r>
  </si>
  <si>
    <r>
      <t xml:space="preserve">Emericella </t>
    </r>
    <r>
      <rPr>
        <sz val="12"/>
        <color rgb="FF222222"/>
        <rFont val="Arial"/>
        <family val="2"/>
      </rPr>
      <t>sp</t>
    </r>
  </si>
  <si>
    <r>
      <t>Fusarium</t>
    </r>
    <r>
      <rPr>
        <sz val="12"/>
        <color rgb="FF222222"/>
        <rFont val="Arial"/>
        <family val="2"/>
      </rPr>
      <t xml:space="preserve"> sp</t>
    </r>
  </si>
  <si>
    <r>
      <t xml:space="preserve">Tetraploa </t>
    </r>
    <r>
      <rPr>
        <sz val="12"/>
        <color rgb="FF222222"/>
        <rFont val="Arial"/>
        <family val="2"/>
      </rPr>
      <t xml:space="preserve">sp. </t>
    </r>
  </si>
  <si>
    <t xml:space="preserve"> Yeast cell </t>
  </si>
  <si>
    <t>Fungus</t>
  </si>
  <si>
    <t>Sp 1</t>
  </si>
  <si>
    <t>Sp 2</t>
  </si>
  <si>
    <t>Sp 3</t>
  </si>
  <si>
    <t>Sp 4</t>
  </si>
  <si>
    <t>Sp 5</t>
  </si>
  <si>
    <t>Sp 6</t>
  </si>
  <si>
    <t>Sp 7</t>
  </si>
  <si>
    <t>Sp 8</t>
  </si>
  <si>
    <t>Sp 9</t>
  </si>
  <si>
    <t>Pollen</t>
  </si>
  <si>
    <t>Sp 10</t>
  </si>
  <si>
    <t>sp 10</t>
  </si>
  <si>
    <t xml:space="preserve">Station 1 </t>
  </si>
  <si>
    <t>Station 4</t>
  </si>
  <si>
    <t>Station 2</t>
  </si>
  <si>
    <t>Station 3</t>
  </si>
  <si>
    <t>Station 5</t>
  </si>
  <si>
    <t>Station 6</t>
  </si>
  <si>
    <t>station 3 oiles broken</t>
  </si>
  <si>
    <t xml:space="preserve">(2,2) st 4 missing </t>
  </si>
  <si>
    <t>(2,9)</t>
  </si>
  <si>
    <t xml:space="preserve"> </t>
  </si>
  <si>
    <t>st4 3,3 one</t>
  </si>
  <si>
    <t>SP 10</t>
  </si>
  <si>
    <t>st 4 one pollen 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</si>
</sst>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i/>
      <sz val="12"/>
      <color rgb="FF222222"/>
      <name val="Arial"/>
      <family val="2"/>
    </font>
    <font>
      <sz val="12"/>
      <color rgb="FF222222"/>
      <name val="Arial"/>
      <family val="2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0" xfId="0" applyNumberFormat="1" applyFill="1" applyAlignment="1">
      <alignment horizontal="center"/>
    </xf>
    <xf numFmtId="0" fontId="0" fillId="0" borderId="0" xfId="0" applyFill="1"/>
    <xf numFmtId="0" fontId="5" fillId="5" borderId="0" xfId="0" applyFont="1" applyFill="1"/>
    <xf numFmtId="0" fontId="0" fillId="5" borderId="0" xfId="0" applyFill="1"/>
    <xf numFmtId="0" fontId="5" fillId="2" borderId="0" xfId="0" applyFont="1" applyFill="1"/>
    <xf numFmtId="0" fontId="0" fillId="2" borderId="0" xfId="0" applyFill="1"/>
    <xf numFmtId="0" fontId="0" fillId="0" borderId="0" xfId="0" applyAlignment="1">
      <alignment horizontal="left"/>
    </xf>
    <xf numFmtId="0" fontId="7" fillId="0" borderId="0" xfId="0" applyFont="1"/>
    <xf numFmtId="0" fontId="8" fillId="0" borderId="0" xfId="1"/>
    <xf numFmtId="14" fontId="0" fillId="3" borderId="0" xfId="0" applyNumberForma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'14'!$A$4</c:f>
              <c:strCache>
                <c:ptCount val="1"/>
                <c:pt idx="0">
                  <c:v>Alternaria sp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'14'!$B$3:$G$3</c:f>
              <c:strCache>
                <c:ptCount val="6"/>
                <c:pt idx="0">
                  <c:v>Station 1 </c:v>
                </c:pt>
                <c:pt idx="1">
                  <c:v>Station 2</c:v>
                </c:pt>
                <c:pt idx="2">
                  <c:v>Station 3</c:v>
                </c:pt>
                <c:pt idx="3">
                  <c:v>Station 4</c:v>
                </c:pt>
                <c:pt idx="4">
                  <c:v>Station 5</c:v>
                </c:pt>
                <c:pt idx="5">
                  <c:v>Station 6</c:v>
                </c:pt>
              </c:strCache>
            </c:strRef>
          </c:cat>
          <c:val>
            <c:numRef>
              <c:f>'14'!$B$4:$G$4</c:f>
              <c:numCache>
                <c:formatCode>General</c:formatCode>
                <c:ptCount val="6"/>
                <c:pt idx="0">
                  <c:v>109</c:v>
                </c:pt>
                <c:pt idx="1">
                  <c:v>54</c:v>
                </c:pt>
                <c:pt idx="2">
                  <c:v>145</c:v>
                </c:pt>
                <c:pt idx="3">
                  <c:v>65</c:v>
                </c:pt>
                <c:pt idx="4">
                  <c:v>34</c:v>
                </c:pt>
                <c:pt idx="5">
                  <c:v>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903312"/>
        <c:axId val="174903872"/>
      </c:barChart>
      <c:catAx>
        <c:axId val="174903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03872"/>
        <c:crosses val="autoZero"/>
        <c:auto val="1"/>
        <c:lblAlgn val="ctr"/>
        <c:lblOffset val="100"/>
        <c:noMultiLvlLbl val="0"/>
      </c:catAx>
      <c:valAx>
        <c:axId val="17490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0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'14'!$A$5</c:f>
              <c:strCache>
                <c:ptCount val="1"/>
                <c:pt idx="0">
                  <c:v>Aspergillus spores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'14'!$B$5:$G$5</c:f>
              <c:numCache>
                <c:formatCode>General</c:formatCode>
                <c:ptCount val="6"/>
                <c:pt idx="0">
                  <c:v>145</c:v>
                </c:pt>
                <c:pt idx="1">
                  <c:v>35</c:v>
                </c:pt>
                <c:pt idx="2">
                  <c:v>301</c:v>
                </c:pt>
                <c:pt idx="3">
                  <c:v>190</c:v>
                </c:pt>
                <c:pt idx="4">
                  <c:v>64</c:v>
                </c:pt>
                <c:pt idx="5">
                  <c:v>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047328"/>
        <c:axId val="180047888"/>
      </c:barChart>
      <c:catAx>
        <c:axId val="18004732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47888"/>
        <c:crosses val="autoZero"/>
        <c:auto val="1"/>
        <c:lblAlgn val="ctr"/>
        <c:lblOffset val="100"/>
        <c:noMultiLvlLbl val="0"/>
      </c:catAx>
      <c:valAx>
        <c:axId val="18004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4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12</xdr:row>
      <xdr:rowOff>28576</xdr:rowOff>
    </xdr:from>
    <xdr:to>
      <xdr:col>6</xdr:col>
      <xdr:colOff>123825</xdr:colOff>
      <xdr:row>25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581025</xdr:colOff>
      <xdr:row>14</xdr:row>
      <xdr:rowOff>109537</xdr:rowOff>
    </xdr:from>
    <xdr:to>
      <xdr:col>14</xdr:col>
      <xdr:colOff>276225</xdr:colOff>
      <xdr:row>28</xdr:row>
      <xdr:rowOff>185737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A10" sqref="A10:G10"/>
    </sheetView>
  </sheetViews>
  <sheetFormatPr defaultRowHeight="15" x14ac:dyDescent="0.25"/>
  <cols>
    <col min="1" max="1" width="21.5703125" customWidth="1"/>
  </cols>
  <sheetData>
    <row r="1" spans="1:15" x14ac:dyDescent="0.25">
      <c r="A1" s="14">
        <f>DATE(2016,4,4)</f>
        <v>42464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75" x14ac:dyDescent="0.25">
      <c r="A2" s="15" t="s">
        <v>8</v>
      </c>
      <c r="B2" s="15"/>
      <c r="C2" s="15"/>
      <c r="D2" s="15"/>
      <c r="E2" s="15"/>
      <c r="F2" s="15"/>
      <c r="G2" s="15"/>
      <c r="I2" s="16" t="s">
        <v>18</v>
      </c>
      <c r="J2" s="16"/>
      <c r="K2" s="16"/>
      <c r="L2" s="16"/>
      <c r="M2" s="16"/>
      <c r="N2" s="16"/>
      <c r="O2" s="16"/>
    </row>
    <row r="3" spans="1:15" ht="15.75" x14ac:dyDescent="0.25">
      <c r="A3" s="4" t="s">
        <v>0</v>
      </c>
      <c r="B3" t="s">
        <v>21</v>
      </c>
      <c r="C3" t="s">
        <v>23</v>
      </c>
      <c r="D3" t="s">
        <v>24</v>
      </c>
      <c r="E3" t="s">
        <v>22</v>
      </c>
      <c r="F3" t="s">
        <v>25</v>
      </c>
      <c r="G3" t="s">
        <v>26</v>
      </c>
      <c r="I3" s="4" t="s">
        <v>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</row>
    <row r="4" spans="1:15" ht="15.75" x14ac:dyDescent="0.25">
      <c r="A4" s="1" t="s">
        <v>1</v>
      </c>
      <c r="B4">
        <v>69</v>
      </c>
      <c r="C4">
        <v>130</v>
      </c>
      <c r="D4">
        <v>40</v>
      </c>
      <c r="E4">
        <v>0</v>
      </c>
      <c r="F4">
        <v>73</v>
      </c>
      <c r="G4">
        <v>64</v>
      </c>
      <c r="I4" t="s">
        <v>9</v>
      </c>
      <c r="J4">
        <v>5</v>
      </c>
      <c r="K4">
        <v>71</v>
      </c>
      <c r="L4">
        <v>8</v>
      </c>
      <c r="M4" s="13">
        <v>0</v>
      </c>
      <c r="N4">
        <v>4</v>
      </c>
      <c r="O4">
        <v>9</v>
      </c>
    </row>
    <row r="5" spans="1:15" ht="15.75" x14ac:dyDescent="0.25">
      <c r="A5" s="2" t="s">
        <v>2</v>
      </c>
      <c r="B5">
        <v>339</v>
      </c>
      <c r="C5">
        <v>528</v>
      </c>
      <c r="D5">
        <v>27</v>
      </c>
      <c r="E5">
        <v>0</v>
      </c>
      <c r="F5">
        <v>267</v>
      </c>
      <c r="G5">
        <v>35</v>
      </c>
      <c r="I5" t="s">
        <v>10</v>
      </c>
      <c r="J5">
        <v>28</v>
      </c>
      <c r="K5">
        <v>33</v>
      </c>
      <c r="L5">
        <v>12</v>
      </c>
      <c r="M5">
        <v>0</v>
      </c>
      <c r="N5">
        <v>10</v>
      </c>
      <c r="O5">
        <v>5</v>
      </c>
    </row>
    <row r="6" spans="1:15" ht="15.75" x14ac:dyDescent="0.25">
      <c r="A6" s="2" t="s">
        <v>3</v>
      </c>
      <c r="B6">
        <v>3</v>
      </c>
      <c r="C6">
        <v>20</v>
      </c>
      <c r="D6">
        <v>0</v>
      </c>
      <c r="E6">
        <v>0</v>
      </c>
      <c r="F6">
        <v>0</v>
      </c>
      <c r="G6">
        <v>0</v>
      </c>
      <c r="I6" t="s">
        <v>11</v>
      </c>
      <c r="J6">
        <v>0</v>
      </c>
      <c r="K6">
        <v>103</v>
      </c>
      <c r="L6">
        <v>3</v>
      </c>
      <c r="M6">
        <v>0</v>
      </c>
      <c r="N6">
        <v>0</v>
      </c>
      <c r="O6">
        <v>0</v>
      </c>
    </row>
    <row r="7" spans="1:15" ht="15.75" x14ac:dyDescent="0.25">
      <c r="A7" s="1" t="s">
        <v>4</v>
      </c>
      <c r="B7">
        <v>0</v>
      </c>
      <c r="C7">
        <v>3</v>
      </c>
      <c r="D7">
        <v>0</v>
      </c>
      <c r="E7">
        <v>0</v>
      </c>
      <c r="F7">
        <v>0</v>
      </c>
      <c r="G7">
        <v>0</v>
      </c>
      <c r="I7" t="s">
        <v>12</v>
      </c>
      <c r="J7">
        <v>0</v>
      </c>
      <c r="K7">
        <v>8</v>
      </c>
      <c r="L7">
        <v>0</v>
      </c>
      <c r="M7">
        <v>0</v>
      </c>
      <c r="N7">
        <v>0</v>
      </c>
      <c r="O7">
        <v>0</v>
      </c>
    </row>
    <row r="8" spans="1:15" ht="15.75" x14ac:dyDescent="0.25">
      <c r="A8" s="1" t="s">
        <v>5</v>
      </c>
      <c r="B8">
        <v>73</v>
      </c>
      <c r="C8">
        <v>58</v>
      </c>
      <c r="D8">
        <v>0</v>
      </c>
      <c r="E8">
        <v>0</v>
      </c>
      <c r="F8">
        <v>14</v>
      </c>
      <c r="G8">
        <v>54</v>
      </c>
      <c r="I8" t="s">
        <v>13</v>
      </c>
      <c r="J8">
        <v>14</v>
      </c>
      <c r="K8">
        <v>8</v>
      </c>
      <c r="L8">
        <v>13</v>
      </c>
      <c r="M8">
        <v>0</v>
      </c>
      <c r="N8">
        <v>4</v>
      </c>
      <c r="O8">
        <v>5</v>
      </c>
    </row>
    <row r="9" spans="1:15" ht="15.75" x14ac:dyDescent="0.25">
      <c r="A9" s="1" t="s">
        <v>6</v>
      </c>
      <c r="B9">
        <v>2</v>
      </c>
      <c r="C9">
        <v>9</v>
      </c>
      <c r="D9">
        <v>0</v>
      </c>
      <c r="E9">
        <v>0</v>
      </c>
      <c r="F9">
        <v>0</v>
      </c>
      <c r="G9">
        <v>0</v>
      </c>
      <c r="I9" t="s">
        <v>14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</row>
    <row r="10" spans="1:15" ht="15.75" x14ac:dyDescent="0.25">
      <c r="A10" s="3" t="s">
        <v>7</v>
      </c>
      <c r="B10">
        <v>30</v>
      </c>
      <c r="C10">
        <v>178</v>
      </c>
      <c r="D10">
        <v>73</v>
      </c>
      <c r="E10">
        <v>0</v>
      </c>
      <c r="F10">
        <v>9</v>
      </c>
      <c r="G10">
        <v>40</v>
      </c>
      <c r="I10" t="s">
        <v>15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 x14ac:dyDescent="0.25">
      <c r="I11" t="s">
        <v>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I12" t="s">
        <v>17</v>
      </c>
      <c r="J12">
        <v>0</v>
      </c>
      <c r="K12">
        <v>126</v>
      </c>
      <c r="L12">
        <v>0</v>
      </c>
      <c r="M12">
        <v>0</v>
      </c>
      <c r="N12">
        <v>0</v>
      </c>
      <c r="O12">
        <v>0</v>
      </c>
    </row>
    <row r="13" spans="1:15" x14ac:dyDescent="0.25">
      <c r="I13" t="s">
        <v>19</v>
      </c>
      <c r="J13">
        <v>0</v>
      </c>
      <c r="K13">
        <v>10</v>
      </c>
      <c r="L13">
        <v>0</v>
      </c>
      <c r="M13">
        <v>0</v>
      </c>
      <c r="N13">
        <v>0</v>
      </c>
      <c r="O13">
        <v>0</v>
      </c>
    </row>
    <row r="14" spans="1:15" x14ac:dyDescent="0.25">
      <c r="I14" s="11">
        <v>66</v>
      </c>
      <c r="J14">
        <v>0</v>
      </c>
      <c r="K14">
        <v>5</v>
      </c>
      <c r="L14">
        <v>0</v>
      </c>
      <c r="M14">
        <v>0</v>
      </c>
      <c r="N14">
        <v>0</v>
      </c>
      <c r="O14">
        <v>0</v>
      </c>
    </row>
    <row r="17" spans="1:8" x14ac:dyDescent="0.25">
      <c r="A17" t="s">
        <v>28</v>
      </c>
    </row>
    <row r="19" spans="1:8" ht="15.75" x14ac:dyDescent="0.25">
      <c r="A19" s="4"/>
      <c r="B19" s="1"/>
      <c r="C19" s="2"/>
      <c r="D19" s="2"/>
      <c r="E19" s="1"/>
      <c r="F19" s="1"/>
      <c r="G19" s="1"/>
      <c r="H19" s="3"/>
    </row>
  </sheetData>
  <mergeCells count="3">
    <mergeCell ref="A1:O1"/>
    <mergeCell ref="A2:G2"/>
    <mergeCell ref="I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A10" sqref="A10"/>
    </sheetView>
  </sheetViews>
  <sheetFormatPr defaultRowHeight="15" x14ac:dyDescent="0.25"/>
  <cols>
    <col min="1" max="1" width="13.42578125" customWidth="1"/>
  </cols>
  <sheetData>
    <row r="1" spans="1:7" ht="15.75" x14ac:dyDescent="0.25">
      <c r="A1" s="4" t="s">
        <v>0</v>
      </c>
      <c r="B1" t="s">
        <v>21</v>
      </c>
      <c r="C1" t="s">
        <v>23</v>
      </c>
      <c r="D1" t="s">
        <v>24</v>
      </c>
      <c r="E1" t="s">
        <v>22</v>
      </c>
      <c r="F1" t="s">
        <v>25</v>
      </c>
      <c r="G1" t="s">
        <v>26</v>
      </c>
    </row>
    <row r="2" spans="1:7" ht="15.75" x14ac:dyDescent="0.25">
      <c r="A2" s="3" t="s">
        <v>7</v>
      </c>
      <c r="B2">
        <v>30</v>
      </c>
      <c r="C2">
        <v>178</v>
      </c>
      <c r="D2">
        <v>73</v>
      </c>
      <c r="E2">
        <v>0</v>
      </c>
      <c r="F2">
        <v>9</v>
      </c>
      <c r="G2">
        <v>40</v>
      </c>
    </row>
    <row r="3" spans="1:7" ht="15.75" x14ac:dyDescent="0.25">
      <c r="A3" s="3" t="s">
        <v>7</v>
      </c>
      <c r="B3">
        <v>34</v>
      </c>
      <c r="C3">
        <v>17</v>
      </c>
      <c r="D3">
        <v>4</v>
      </c>
      <c r="E3">
        <v>38</v>
      </c>
      <c r="F3">
        <v>0</v>
      </c>
      <c r="G3">
        <v>81</v>
      </c>
    </row>
    <row r="4" spans="1:7" ht="15.75" x14ac:dyDescent="0.25">
      <c r="A4" s="3" t="s">
        <v>7</v>
      </c>
      <c r="B4">
        <v>16</v>
      </c>
      <c r="C4">
        <v>5</v>
      </c>
      <c r="D4">
        <v>31</v>
      </c>
      <c r="E4">
        <v>3</v>
      </c>
      <c r="G4">
        <v>54</v>
      </c>
    </row>
    <row r="5" spans="1:7" ht="15.75" x14ac:dyDescent="0.25">
      <c r="A5" s="3" t="s">
        <v>7</v>
      </c>
      <c r="B5">
        <v>164</v>
      </c>
      <c r="C5">
        <v>102</v>
      </c>
      <c r="D5">
        <v>38</v>
      </c>
      <c r="E5">
        <v>60</v>
      </c>
      <c r="F5">
        <v>24</v>
      </c>
      <c r="G5">
        <v>90</v>
      </c>
    </row>
    <row r="6" spans="1:7" ht="15.75" x14ac:dyDescent="0.25">
      <c r="A6" s="3" t="s">
        <v>7</v>
      </c>
      <c r="B6">
        <v>25</v>
      </c>
      <c r="C6">
        <v>7</v>
      </c>
      <c r="D6">
        <v>0</v>
      </c>
      <c r="E6">
        <v>65</v>
      </c>
      <c r="F6">
        <v>4</v>
      </c>
      <c r="G6">
        <v>0</v>
      </c>
    </row>
    <row r="7" spans="1:7" ht="15.75" x14ac:dyDescent="0.25">
      <c r="A7" s="3" t="s">
        <v>7</v>
      </c>
      <c r="B7">
        <v>160</v>
      </c>
      <c r="C7">
        <v>100</v>
      </c>
      <c r="D7">
        <v>100</v>
      </c>
      <c r="E7">
        <v>79</v>
      </c>
      <c r="F7">
        <v>101</v>
      </c>
      <c r="G7">
        <v>47</v>
      </c>
    </row>
    <row r="8" spans="1:7" ht="15.75" x14ac:dyDescent="0.25">
      <c r="A8" s="3" t="s">
        <v>7</v>
      </c>
      <c r="B8">
        <v>81</v>
      </c>
      <c r="C8">
        <v>149</v>
      </c>
      <c r="D8">
        <v>212</v>
      </c>
      <c r="E8">
        <v>113</v>
      </c>
      <c r="F8">
        <v>26</v>
      </c>
      <c r="G8">
        <v>17</v>
      </c>
    </row>
    <row r="9" spans="1:7" ht="15.75" x14ac:dyDescent="0.25">
      <c r="A9" s="3" t="s">
        <v>7</v>
      </c>
      <c r="B9">
        <v>40</v>
      </c>
      <c r="C9">
        <v>54</v>
      </c>
      <c r="D9">
        <v>63</v>
      </c>
      <c r="E9">
        <v>42</v>
      </c>
      <c r="F9">
        <v>27</v>
      </c>
      <c r="G9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A10" sqref="A10:G10"/>
    </sheetView>
  </sheetViews>
  <sheetFormatPr defaultRowHeight="15" x14ac:dyDescent="0.25"/>
  <cols>
    <col min="1" max="1" width="20.5703125" customWidth="1"/>
  </cols>
  <sheetData>
    <row r="1" spans="1:15" x14ac:dyDescent="0.25">
      <c r="A1" s="14">
        <f>DATE(2016,4,5)</f>
        <v>42465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75" x14ac:dyDescent="0.25">
      <c r="A2" s="15" t="s">
        <v>8</v>
      </c>
      <c r="B2" s="15"/>
      <c r="C2" s="15"/>
      <c r="D2" s="15"/>
      <c r="E2" s="15"/>
      <c r="F2" s="15"/>
      <c r="G2" s="15"/>
      <c r="I2" s="16" t="s">
        <v>18</v>
      </c>
      <c r="J2" s="16"/>
      <c r="K2" s="16"/>
      <c r="L2" s="16"/>
      <c r="M2" s="16"/>
      <c r="N2" s="16"/>
      <c r="O2" s="16"/>
    </row>
    <row r="3" spans="1:15" ht="15.75" x14ac:dyDescent="0.25">
      <c r="A3" s="4" t="s">
        <v>0</v>
      </c>
      <c r="B3" t="s">
        <v>21</v>
      </c>
      <c r="C3" t="s">
        <v>23</v>
      </c>
      <c r="D3" t="s">
        <v>24</v>
      </c>
      <c r="E3" t="s">
        <v>22</v>
      </c>
      <c r="F3" t="s">
        <v>25</v>
      </c>
      <c r="G3" t="s">
        <v>26</v>
      </c>
      <c r="I3" s="4" t="s">
        <v>0</v>
      </c>
      <c r="J3" t="s">
        <v>21</v>
      </c>
      <c r="K3" t="s">
        <v>23</v>
      </c>
      <c r="L3" t="s">
        <v>24</v>
      </c>
      <c r="M3" t="s">
        <v>22</v>
      </c>
      <c r="N3" t="s">
        <v>25</v>
      </c>
      <c r="O3" t="s">
        <v>26</v>
      </c>
    </row>
    <row r="4" spans="1:15" ht="15.75" x14ac:dyDescent="0.25">
      <c r="A4" s="1" t="s">
        <v>1</v>
      </c>
      <c r="B4">
        <v>32</v>
      </c>
      <c r="C4">
        <v>59</v>
      </c>
      <c r="D4">
        <v>12</v>
      </c>
      <c r="E4">
        <v>296</v>
      </c>
      <c r="F4">
        <v>14</v>
      </c>
      <c r="G4">
        <v>38</v>
      </c>
      <c r="I4" t="s">
        <v>9</v>
      </c>
      <c r="J4">
        <v>17</v>
      </c>
      <c r="K4">
        <v>5</v>
      </c>
      <c r="M4">
        <v>19</v>
      </c>
      <c r="N4">
        <v>0</v>
      </c>
    </row>
    <row r="5" spans="1:15" ht="15.75" x14ac:dyDescent="0.25">
      <c r="A5" s="2" t="s">
        <v>2</v>
      </c>
      <c r="B5">
        <v>153</v>
      </c>
      <c r="C5">
        <v>62</v>
      </c>
      <c r="D5">
        <v>58</v>
      </c>
      <c r="E5">
        <v>1314</v>
      </c>
      <c r="F5">
        <v>7</v>
      </c>
      <c r="G5">
        <v>171</v>
      </c>
      <c r="I5" t="s">
        <v>10</v>
      </c>
      <c r="J5">
        <v>23</v>
      </c>
      <c r="K5">
        <v>12</v>
      </c>
      <c r="L5">
        <v>11</v>
      </c>
      <c r="M5">
        <v>47</v>
      </c>
      <c r="N5">
        <v>8</v>
      </c>
      <c r="O5">
        <v>15</v>
      </c>
    </row>
    <row r="6" spans="1:15" ht="15.75" x14ac:dyDescent="0.25">
      <c r="A6" s="2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I6" t="s">
        <v>11</v>
      </c>
      <c r="J6">
        <v>1</v>
      </c>
      <c r="K6">
        <v>1</v>
      </c>
      <c r="M6">
        <v>1</v>
      </c>
      <c r="N6">
        <v>0</v>
      </c>
    </row>
    <row r="7" spans="1:15" ht="15.75" x14ac:dyDescent="0.25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I7" t="s">
        <v>12</v>
      </c>
      <c r="N7">
        <v>0</v>
      </c>
    </row>
    <row r="8" spans="1:15" ht="15.75" x14ac:dyDescent="0.25">
      <c r="A8" s="1" t="s">
        <v>5</v>
      </c>
      <c r="B8">
        <v>51</v>
      </c>
      <c r="C8">
        <v>95</v>
      </c>
      <c r="D8">
        <v>0</v>
      </c>
      <c r="E8">
        <v>50</v>
      </c>
      <c r="F8">
        <v>8</v>
      </c>
      <c r="G8">
        <v>0</v>
      </c>
      <c r="I8" t="s">
        <v>13</v>
      </c>
      <c r="J8">
        <v>18</v>
      </c>
      <c r="K8">
        <v>27</v>
      </c>
      <c r="L8">
        <v>6</v>
      </c>
      <c r="M8">
        <v>6</v>
      </c>
      <c r="N8">
        <v>0</v>
      </c>
      <c r="O8">
        <v>5</v>
      </c>
    </row>
    <row r="9" spans="1:15" ht="15.75" x14ac:dyDescent="0.25">
      <c r="A9" s="1" t="s">
        <v>6</v>
      </c>
      <c r="B9">
        <v>0</v>
      </c>
      <c r="C9">
        <v>0</v>
      </c>
      <c r="D9">
        <v>0</v>
      </c>
      <c r="E9">
        <v>3</v>
      </c>
      <c r="F9">
        <v>0</v>
      </c>
      <c r="G9">
        <v>0</v>
      </c>
      <c r="I9" t="s">
        <v>14</v>
      </c>
      <c r="N9">
        <v>0</v>
      </c>
    </row>
    <row r="10" spans="1:15" ht="15.75" x14ac:dyDescent="0.25">
      <c r="A10" s="3" t="s">
        <v>7</v>
      </c>
      <c r="B10">
        <v>34</v>
      </c>
      <c r="C10">
        <v>17</v>
      </c>
      <c r="D10">
        <v>4</v>
      </c>
      <c r="E10">
        <v>38</v>
      </c>
      <c r="F10">
        <v>0</v>
      </c>
      <c r="G10">
        <v>81</v>
      </c>
      <c r="I10" t="s">
        <v>15</v>
      </c>
      <c r="K10">
        <v>1</v>
      </c>
      <c r="L10">
        <v>1</v>
      </c>
      <c r="M10">
        <v>1</v>
      </c>
      <c r="N10">
        <v>0</v>
      </c>
      <c r="O10">
        <v>3</v>
      </c>
    </row>
    <row r="11" spans="1:15" x14ac:dyDescent="0.25">
      <c r="I11" t="s">
        <v>16</v>
      </c>
      <c r="N11">
        <v>0</v>
      </c>
    </row>
    <row r="12" spans="1:15" x14ac:dyDescent="0.25">
      <c r="I12" t="s">
        <v>17</v>
      </c>
      <c r="L12">
        <v>3</v>
      </c>
      <c r="M12">
        <v>1</v>
      </c>
      <c r="N12">
        <v>0</v>
      </c>
    </row>
    <row r="13" spans="1:15" x14ac:dyDescent="0.25">
      <c r="I13" t="s">
        <v>19</v>
      </c>
      <c r="L13">
        <v>3</v>
      </c>
      <c r="N13">
        <v>0</v>
      </c>
    </row>
    <row r="14" spans="1:15" x14ac:dyDescent="0.25">
      <c r="I14" s="11">
        <v>66</v>
      </c>
    </row>
    <row r="16" spans="1:15" x14ac:dyDescent="0.25">
      <c r="O16" t="s">
        <v>29</v>
      </c>
    </row>
  </sheetData>
  <mergeCells count="3">
    <mergeCell ref="A1:O1"/>
    <mergeCell ref="A2:G2"/>
    <mergeCell ref="I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A10" sqref="A10:G10"/>
    </sheetView>
  </sheetViews>
  <sheetFormatPr defaultRowHeight="15" x14ac:dyDescent="0.25"/>
  <cols>
    <col min="1" max="1" width="22.85546875" customWidth="1"/>
  </cols>
  <sheetData>
    <row r="1" spans="1:15" x14ac:dyDescent="0.25">
      <c r="A1" s="14">
        <f>DATE(2016,4,6)</f>
        <v>42466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75" x14ac:dyDescent="0.25">
      <c r="A2" s="15" t="s">
        <v>8</v>
      </c>
      <c r="B2" s="15"/>
      <c r="C2" s="15"/>
      <c r="D2" s="15"/>
      <c r="E2" s="15"/>
      <c r="F2" s="15"/>
      <c r="G2" s="15"/>
      <c r="I2" s="16" t="s">
        <v>18</v>
      </c>
      <c r="J2" s="16"/>
      <c r="K2" s="16"/>
      <c r="L2" s="16"/>
      <c r="M2" s="16"/>
      <c r="N2" s="16"/>
      <c r="O2" s="16"/>
    </row>
    <row r="3" spans="1:15" ht="15.75" x14ac:dyDescent="0.25">
      <c r="A3" s="4" t="s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I3" s="4" t="s">
        <v>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</row>
    <row r="4" spans="1:15" ht="15.75" x14ac:dyDescent="0.25">
      <c r="A4" s="1" t="s">
        <v>1</v>
      </c>
      <c r="B4">
        <v>47</v>
      </c>
      <c r="C4">
        <v>32</v>
      </c>
      <c r="D4">
        <v>135</v>
      </c>
      <c r="E4" t="s">
        <v>30</v>
      </c>
      <c r="G4">
        <v>140</v>
      </c>
      <c r="I4" t="s">
        <v>9</v>
      </c>
      <c r="J4">
        <v>44</v>
      </c>
      <c r="K4">
        <v>17</v>
      </c>
      <c r="L4">
        <v>17</v>
      </c>
      <c r="M4">
        <v>6</v>
      </c>
      <c r="O4">
        <v>14</v>
      </c>
    </row>
    <row r="5" spans="1:15" ht="15.75" x14ac:dyDescent="0.25">
      <c r="A5" s="2" t="s">
        <v>2</v>
      </c>
      <c r="B5">
        <v>67</v>
      </c>
      <c r="C5">
        <v>11</v>
      </c>
      <c r="D5">
        <v>109</v>
      </c>
      <c r="E5">
        <v>203</v>
      </c>
      <c r="G5">
        <v>327</v>
      </c>
      <c r="I5" t="s">
        <v>10</v>
      </c>
      <c r="J5">
        <v>60</v>
      </c>
      <c r="K5">
        <v>85</v>
      </c>
      <c r="L5">
        <v>161</v>
      </c>
      <c r="M5">
        <v>33</v>
      </c>
      <c r="O5">
        <v>28</v>
      </c>
    </row>
    <row r="6" spans="1:15" ht="15.75" x14ac:dyDescent="0.25">
      <c r="A6" s="2" t="s">
        <v>3</v>
      </c>
      <c r="B6">
        <v>0</v>
      </c>
      <c r="C6">
        <v>0</v>
      </c>
      <c r="D6">
        <v>0</v>
      </c>
      <c r="E6">
        <v>0</v>
      </c>
      <c r="G6">
        <v>36</v>
      </c>
      <c r="I6" t="s">
        <v>11</v>
      </c>
      <c r="J6">
        <v>20</v>
      </c>
      <c r="K6">
        <v>33</v>
      </c>
      <c r="L6">
        <v>44</v>
      </c>
      <c r="M6">
        <v>1</v>
      </c>
      <c r="O6">
        <v>49</v>
      </c>
    </row>
    <row r="7" spans="1:15" ht="15.75" x14ac:dyDescent="0.25">
      <c r="A7" s="1" t="s">
        <v>4</v>
      </c>
      <c r="B7">
        <v>0</v>
      </c>
      <c r="C7">
        <v>0</v>
      </c>
      <c r="D7">
        <v>0</v>
      </c>
      <c r="E7">
        <v>0</v>
      </c>
      <c r="G7">
        <v>0</v>
      </c>
      <c r="I7" t="s">
        <v>12</v>
      </c>
      <c r="J7">
        <v>0</v>
      </c>
      <c r="K7">
        <v>75</v>
      </c>
      <c r="M7">
        <v>21</v>
      </c>
      <c r="O7">
        <v>3</v>
      </c>
    </row>
    <row r="8" spans="1:15" ht="15.75" x14ac:dyDescent="0.25">
      <c r="A8" s="1" t="s">
        <v>5</v>
      </c>
      <c r="B8">
        <v>0</v>
      </c>
      <c r="C8">
        <v>0</v>
      </c>
      <c r="D8">
        <v>12</v>
      </c>
      <c r="E8">
        <v>10</v>
      </c>
      <c r="G8">
        <v>7</v>
      </c>
      <c r="I8" t="s">
        <v>13</v>
      </c>
      <c r="J8">
        <v>0</v>
      </c>
      <c r="K8">
        <v>6</v>
      </c>
      <c r="L8">
        <v>4</v>
      </c>
      <c r="O8">
        <v>0</v>
      </c>
    </row>
    <row r="9" spans="1:15" ht="15.75" x14ac:dyDescent="0.25">
      <c r="A9" s="1" t="s">
        <v>6</v>
      </c>
      <c r="B9">
        <v>0</v>
      </c>
      <c r="C9">
        <v>0</v>
      </c>
      <c r="D9">
        <v>0</v>
      </c>
      <c r="E9">
        <v>0</v>
      </c>
      <c r="G9">
        <v>15</v>
      </c>
      <c r="I9" t="s">
        <v>14</v>
      </c>
      <c r="J9">
        <v>0</v>
      </c>
      <c r="K9">
        <v>0</v>
      </c>
      <c r="M9">
        <v>3</v>
      </c>
      <c r="O9">
        <v>0</v>
      </c>
    </row>
    <row r="10" spans="1:15" ht="15.75" x14ac:dyDescent="0.25">
      <c r="A10" s="3" t="s">
        <v>7</v>
      </c>
      <c r="B10">
        <v>16</v>
      </c>
      <c r="C10">
        <v>5</v>
      </c>
      <c r="D10">
        <v>31</v>
      </c>
      <c r="E10">
        <v>3</v>
      </c>
      <c r="G10">
        <v>54</v>
      </c>
      <c r="I10" t="s">
        <v>15</v>
      </c>
      <c r="J10">
        <v>0</v>
      </c>
      <c r="K10">
        <v>1</v>
      </c>
      <c r="O10">
        <v>0</v>
      </c>
    </row>
    <row r="11" spans="1:15" x14ac:dyDescent="0.25">
      <c r="I11" t="s">
        <v>16</v>
      </c>
      <c r="J11">
        <v>0</v>
      </c>
      <c r="K11">
        <v>0</v>
      </c>
      <c r="L11">
        <v>19</v>
      </c>
      <c r="M11">
        <v>1</v>
      </c>
      <c r="O11">
        <v>6</v>
      </c>
    </row>
    <row r="12" spans="1:15" x14ac:dyDescent="0.25">
      <c r="I12" t="s">
        <v>17</v>
      </c>
      <c r="J12">
        <v>3</v>
      </c>
      <c r="K12">
        <v>1</v>
      </c>
      <c r="L12">
        <v>2</v>
      </c>
      <c r="M12">
        <v>7</v>
      </c>
      <c r="O12">
        <v>0</v>
      </c>
    </row>
    <row r="13" spans="1:15" x14ac:dyDescent="0.25">
      <c r="I13" t="s">
        <v>19</v>
      </c>
      <c r="J13">
        <v>2</v>
      </c>
      <c r="L13">
        <v>13</v>
      </c>
      <c r="O13">
        <v>13</v>
      </c>
    </row>
    <row r="14" spans="1:15" x14ac:dyDescent="0.25">
      <c r="I14">
        <v>66</v>
      </c>
    </row>
    <row r="16" spans="1:15" x14ac:dyDescent="0.25">
      <c r="A16" t="s">
        <v>31</v>
      </c>
    </row>
  </sheetData>
  <mergeCells count="3">
    <mergeCell ref="A1:O1"/>
    <mergeCell ref="A2:G2"/>
    <mergeCell ref="I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A10" sqref="A10:G10"/>
    </sheetView>
  </sheetViews>
  <sheetFormatPr defaultRowHeight="15" x14ac:dyDescent="0.25"/>
  <cols>
    <col min="1" max="1" width="21" customWidth="1"/>
  </cols>
  <sheetData>
    <row r="1" spans="1:15" x14ac:dyDescent="0.25">
      <c r="A1" s="14">
        <f>DATE(2016,4,7)</f>
        <v>42467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75" x14ac:dyDescent="0.25">
      <c r="A2" s="15" t="s">
        <v>8</v>
      </c>
      <c r="B2" s="15"/>
      <c r="C2" s="15"/>
      <c r="D2" s="15"/>
      <c r="E2" s="15"/>
      <c r="F2" s="15"/>
      <c r="G2" s="15"/>
      <c r="I2" s="16" t="s">
        <v>18</v>
      </c>
      <c r="J2" s="16"/>
      <c r="K2" s="16"/>
      <c r="L2" s="16"/>
      <c r="M2" s="16"/>
      <c r="N2" s="16"/>
      <c r="O2" s="16"/>
    </row>
    <row r="3" spans="1:15" ht="15.75" x14ac:dyDescent="0.25">
      <c r="A3" s="4" t="s">
        <v>0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I3" s="4" t="s">
        <v>0</v>
      </c>
      <c r="J3" s="12">
        <v>1</v>
      </c>
      <c r="K3" s="12">
        <v>2</v>
      </c>
      <c r="L3" s="12">
        <v>3</v>
      </c>
      <c r="M3" s="12">
        <v>4</v>
      </c>
      <c r="N3" s="12">
        <v>5</v>
      </c>
      <c r="O3" s="12">
        <v>6</v>
      </c>
    </row>
    <row r="4" spans="1:15" ht="15.75" x14ac:dyDescent="0.25">
      <c r="A4" s="1" t="s">
        <v>1</v>
      </c>
      <c r="B4">
        <v>123</v>
      </c>
      <c r="C4">
        <v>211</v>
      </c>
      <c r="D4">
        <v>50</v>
      </c>
      <c r="E4">
        <v>154</v>
      </c>
      <c r="F4">
        <v>12</v>
      </c>
      <c r="G4">
        <v>145</v>
      </c>
      <c r="I4" t="s">
        <v>9</v>
      </c>
      <c r="J4">
        <v>51</v>
      </c>
      <c r="K4">
        <v>22</v>
      </c>
      <c r="L4">
        <v>22</v>
      </c>
      <c r="M4">
        <v>26</v>
      </c>
      <c r="N4">
        <v>2</v>
      </c>
      <c r="O4">
        <v>55</v>
      </c>
    </row>
    <row r="5" spans="1:15" ht="15.75" x14ac:dyDescent="0.25">
      <c r="A5" s="2" t="s">
        <v>2</v>
      </c>
      <c r="B5">
        <v>1145</v>
      </c>
      <c r="C5">
        <v>80</v>
      </c>
      <c r="D5">
        <v>223</v>
      </c>
      <c r="E5">
        <v>313</v>
      </c>
      <c r="F5">
        <v>4</v>
      </c>
      <c r="G5">
        <v>131</v>
      </c>
      <c r="I5" t="s">
        <v>10</v>
      </c>
      <c r="J5">
        <v>93</v>
      </c>
      <c r="K5">
        <v>63</v>
      </c>
      <c r="L5">
        <v>41</v>
      </c>
      <c r="M5">
        <v>330</v>
      </c>
      <c r="N5">
        <v>6</v>
      </c>
      <c r="O5">
        <v>127</v>
      </c>
    </row>
    <row r="6" spans="1:15" ht="15.75" x14ac:dyDescent="0.25">
      <c r="A6" s="2" t="s">
        <v>3</v>
      </c>
      <c r="B6">
        <v>17</v>
      </c>
      <c r="C6">
        <v>8</v>
      </c>
      <c r="D6">
        <v>10</v>
      </c>
      <c r="E6">
        <v>21</v>
      </c>
      <c r="F6">
        <v>3</v>
      </c>
      <c r="G6">
        <v>37</v>
      </c>
      <c r="I6" t="s">
        <v>11</v>
      </c>
      <c r="J6">
        <v>105</v>
      </c>
      <c r="K6">
        <v>67</v>
      </c>
      <c r="L6">
        <v>13</v>
      </c>
      <c r="M6">
        <v>45</v>
      </c>
      <c r="N6">
        <v>1</v>
      </c>
      <c r="O6">
        <v>42</v>
      </c>
    </row>
    <row r="7" spans="1:15" ht="15.75" x14ac:dyDescent="0.25">
      <c r="A7" s="1" t="s">
        <v>4</v>
      </c>
      <c r="B7">
        <v>5</v>
      </c>
      <c r="C7">
        <v>4</v>
      </c>
      <c r="D7">
        <v>4</v>
      </c>
      <c r="E7">
        <v>1</v>
      </c>
      <c r="F7">
        <v>0</v>
      </c>
      <c r="G7">
        <v>1</v>
      </c>
      <c r="I7" t="s">
        <v>12</v>
      </c>
      <c r="J7">
        <v>85</v>
      </c>
      <c r="K7">
        <v>2</v>
      </c>
      <c r="L7">
        <v>5</v>
      </c>
      <c r="M7">
        <v>4</v>
      </c>
      <c r="N7">
        <v>0</v>
      </c>
      <c r="O7">
        <v>84</v>
      </c>
    </row>
    <row r="8" spans="1:15" ht="15.75" x14ac:dyDescent="0.25">
      <c r="A8" s="1" t="s">
        <v>5</v>
      </c>
      <c r="B8">
        <v>0</v>
      </c>
      <c r="C8">
        <v>0</v>
      </c>
      <c r="D8">
        <v>0</v>
      </c>
      <c r="E8">
        <v>0</v>
      </c>
      <c r="F8">
        <v>25</v>
      </c>
      <c r="G8">
        <v>2</v>
      </c>
      <c r="I8" t="s">
        <v>13</v>
      </c>
      <c r="J8">
        <v>42</v>
      </c>
      <c r="K8">
        <v>29</v>
      </c>
      <c r="L8">
        <v>14</v>
      </c>
      <c r="M8">
        <v>7</v>
      </c>
      <c r="N8">
        <v>7</v>
      </c>
      <c r="O8">
        <v>9</v>
      </c>
    </row>
    <row r="9" spans="1:15" ht="15.75" x14ac:dyDescent="0.25">
      <c r="A9" s="1" t="s">
        <v>6</v>
      </c>
      <c r="B9">
        <v>9</v>
      </c>
      <c r="C9">
        <v>14</v>
      </c>
      <c r="D9">
        <v>18</v>
      </c>
      <c r="E9">
        <v>22</v>
      </c>
      <c r="F9">
        <v>0</v>
      </c>
      <c r="G9">
        <v>25</v>
      </c>
      <c r="I9" t="s">
        <v>14</v>
      </c>
      <c r="J9">
        <v>3</v>
      </c>
      <c r="K9">
        <v>1</v>
      </c>
      <c r="L9">
        <v>20</v>
      </c>
      <c r="M9">
        <v>39</v>
      </c>
      <c r="N9">
        <v>0</v>
      </c>
      <c r="O9">
        <v>0</v>
      </c>
    </row>
    <row r="10" spans="1:15" ht="15.75" x14ac:dyDescent="0.25">
      <c r="A10" s="3" t="s">
        <v>7</v>
      </c>
      <c r="B10">
        <v>164</v>
      </c>
      <c r="C10">
        <v>102</v>
      </c>
      <c r="D10">
        <v>38</v>
      </c>
      <c r="E10">
        <v>60</v>
      </c>
      <c r="F10">
        <v>24</v>
      </c>
      <c r="G10">
        <v>90</v>
      </c>
      <c r="I10" t="s">
        <v>15</v>
      </c>
      <c r="J10">
        <v>0</v>
      </c>
      <c r="K10">
        <v>0</v>
      </c>
      <c r="L10">
        <v>0</v>
      </c>
      <c r="M10">
        <v>31</v>
      </c>
      <c r="N10">
        <v>0</v>
      </c>
      <c r="O10">
        <v>3</v>
      </c>
    </row>
    <row r="11" spans="1:15" x14ac:dyDescent="0.25">
      <c r="I11" t="s">
        <v>16</v>
      </c>
      <c r="J11">
        <v>0</v>
      </c>
      <c r="K11">
        <v>0</v>
      </c>
      <c r="L11">
        <v>26</v>
      </c>
      <c r="M11">
        <v>4</v>
      </c>
      <c r="N11">
        <v>2</v>
      </c>
      <c r="O11">
        <v>5</v>
      </c>
    </row>
    <row r="12" spans="1:15" ht="15.75" x14ac:dyDescent="0.25">
      <c r="A12" s="1" t="s">
        <v>27</v>
      </c>
      <c r="I12" t="s">
        <v>17</v>
      </c>
      <c r="J12">
        <v>1</v>
      </c>
      <c r="K12">
        <v>49</v>
      </c>
      <c r="L12">
        <v>1</v>
      </c>
      <c r="M12">
        <v>4</v>
      </c>
      <c r="N12">
        <v>0</v>
      </c>
      <c r="O12">
        <v>0</v>
      </c>
    </row>
    <row r="13" spans="1:15" x14ac:dyDescent="0.25">
      <c r="I13" t="s">
        <v>19</v>
      </c>
      <c r="J13">
        <v>13</v>
      </c>
      <c r="K13">
        <v>33</v>
      </c>
      <c r="L13">
        <v>43</v>
      </c>
      <c r="M13">
        <v>5</v>
      </c>
      <c r="N13">
        <v>3</v>
      </c>
      <c r="O13">
        <v>13</v>
      </c>
    </row>
    <row r="14" spans="1:15" x14ac:dyDescent="0.25">
      <c r="I14" s="11">
        <v>66</v>
      </c>
      <c r="J14">
        <v>0</v>
      </c>
      <c r="K14">
        <v>16</v>
      </c>
      <c r="L14">
        <v>22</v>
      </c>
      <c r="M14">
        <v>21</v>
      </c>
      <c r="N14">
        <v>8</v>
      </c>
      <c r="O14">
        <v>76</v>
      </c>
    </row>
  </sheetData>
  <mergeCells count="3">
    <mergeCell ref="A1:O1"/>
    <mergeCell ref="A2:G2"/>
    <mergeCell ref="I2:O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A10" sqref="A10:G10"/>
    </sheetView>
  </sheetViews>
  <sheetFormatPr defaultRowHeight="15" x14ac:dyDescent="0.25"/>
  <cols>
    <col min="1" max="1" width="20.7109375" customWidth="1"/>
  </cols>
  <sheetData>
    <row r="1" spans="1:15" x14ac:dyDescent="0.25">
      <c r="A1" s="14">
        <f>DATE(2016,4,8)</f>
        <v>42468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75" x14ac:dyDescent="0.25">
      <c r="A2" s="15" t="s">
        <v>8</v>
      </c>
      <c r="B2" s="15"/>
      <c r="C2" s="15"/>
      <c r="D2" s="15"/>
      <c r="E2" s="15"/>
      <c r="F2" s="15"/>
      <c r="G2" s="15"/>
      <c r="I2" s="16" t="s">
        <v>18</v>
      </c>
      <c r="J2" s="16"/>
      <c r="K2" s="16"/>
      <c r="L2" s="16"/>
      <c r="M2" s="16"/>
      <c r="N2" s="16"/>
      <c r="O2" s="16"/>
    </row>
    <row r="3" spans="1:15" ht="15.75" x14ac:dyDescent="0.25">
      <c r="A3" s="4" t="s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I3" s="4" t="s">
        <v>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</row>
    <row r="4" spans="1:15" ht="15.75" x14ac:dyDescent="0.25">
      <c r="A4" s="1" t="s">
        <v>1</v>
      </c>
      <c r="B4">
        <v>132</v>
      </c>
      <c r="C4">
        <v>20</v>
      </c>
      <c r="D4">
        <v>0</v>
      </c>
      <c r="E4">
        <v>92</v>
      </c>
      <c r="F4">
        <v>12</v>
      </c>
      <c r="G4">
        <v>0</v>
      </c>
      <c r="I4" t="s">
        <v>9</v>
      </c>
      <c r="J4">
        <v>6</v>
      </c>
      <c r="K4">
        <v>0</v>
      </c>
      <c r="L4">
        <v>0</v>
      </c>
      <c r="M4">
        <v>4</v>
      </c>
      <c r="N4">
        <v>0</v>
      </c>
    </row>
    <row r="5" spans="1:15" ht="15.75" x14ac:dyDescent="0.25">
      <c r="A5" s="2" t="s">
        <v>2</v>
      </c>
      <c r="B5">
        <v>238</v>
      </c>
      <c r="C5">
        <v>27</v>
      </c>
      <c r="D5">
        <v>0</v>
      </c>
      <c r="E5">
        <v>105</v>
      </c>
      <c r="F5">
        <v>4</v>
      </c>
      <c r="G5">
        <v>0</v>
      </c>
      <c r="I5" t="s">
        <v>10</v>
      </c>
      <c r="J5">
        <v>64</v>
      </c>
      <c r="K5">
        <v>5</v>
      </c>
      <c r="L5">
        <v>0</v>
      </c>
      <c r="M5">
        <v>79</v>
      </c>
      <c r="N5">
        <v>7</v>
      </c>
    </row>
    <row r="6" spans="1:15" ht="15.75" x14ac:dyDescent="0.25">
      <c r="A6" s="2" t="s">
        <v>3</v>
      </c>
      <c r="B6">
        <v>7</v>
      </c>
      <c r="C6">
        <v>2</v>
      </c>
      <c r="D6">
        <v>0</v>
      </c>
      <c r="E6">
        <v>13</v>
      </c>
      <c r="F6">
        <v>0</v>
      </c>
      <c r="G6">
        <v>0</v>
      </c>
      <c r="I6" t="s">
        <v>11</v>
      </c>
      <c r="J6">
        <v>48</v>
      </c>
      <c r="K6">
        <v>2</v>
      </c>
      <c r="L6">
        <v>0</v>
      </c>
      <c r="M6">
        <v>13</v>
      </c>
      <c r="N6">
        <v>1</v>
      </c>
    </row>
    <row r="7" spans="1:15" ht="15.75" x14ac:dyDescent="0.25">
      <c r="A7" s="1" t="s">
        <v>4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I7" t="s">
        <v>12</v>
      </c>
      <c r="J7">
        <v>1</v>
      </c>
      <c r="K7">
        <v>0</v>
      </c>
      <c r="L7">
        <v>0</v>
      </c>
      <c r="M7">
        <v>0</v>
      </c>
      <c r="N7">
        <v>0</v>
      </c>
    </row>
    <row r="8" spans="1:15" ht="15.75" x14ac:dyDescent="0.25">
      <c r="A8" s="1" t="s">
        <v>5</v>
      </c>
      <c r="B8">
        <v>0</v>
      </c>
      <c r="C8">
        <v>5</v>
      </c>
      <c r="D8">
        <v>0</v>
      </c>
      <c r="E8">
        <v>0</v>
      </c>
      <c r="F8">
        <v>0</v>
      </c>
      <c r="G8">
        <v>0</v>
      </c>
      <c r="I8" t="s">
        <v>13</v>
      </c>
      <c r="J8">
        <v>21</v>
      </c>
      <c r="K8">
        <v>6</v>
      </c>
      <c r="L8">
        <v>0</v>
      </c>
      <c r="M8">
        <v>2</v>
      </c>
      <c r="N8">
        <v>0</v>
      </c>
    </row>
    <row r="9" spans="1:15" ht="15.75" x14ac:dyDescent="0.25">
      <c r="A9" s="1" t="s">
        <v>6</v>
      </c>
      <c r="B9">
        <v>6</v>
      </c>
      <c r="C9">
        <v>0</v>
      </c>
      <c r="D9">
        <v>0</v>
      </c>
      <c r="E9">
        <v>4</v>
      </c>
      <c r="F9">
        <v>0</v>
      </c>
      <c r="G9">
        <v>0</v>
      </c>
      <c r="I9" t="s">
        <v>14</v>
      </c>
      <c r="J9">
        <v>0</v>
      </c>
      <c r="K9">
        <v>2</v>
      </c>
      <c r="L9">
        <v>0</v>
      </c>
      <c r="M9">
        <v>0</v>
      </c>
      <c r="N9">
        <v>0</v>
      </c>
    </row>
    <row r="10" spans="1:15" ht="15.75" x14ac:dyDescent="0.25">
      <c r="A10" s="3" t="s">
        <v>7</v>
      </c>
      <c r="B10">
        <v>25</v>
      </c>
      <c r="C10">
        <v>7</v>
      </c>
      <c r="D10">
        <v>0</v>
      </c>
      <c r="E10">
        <v>65</v>
      </c>
      <c r="F10">
        <v>4</v>
      </c>
      <c r="G10">
        <v>0</v>
      </c>
      <c r="I10" t="s">
        <v>15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25">
      <c r="I11" t="s">
        <v>16</v>
      </c>
      <c r="J11">
        <v>3</v>
      </c>
      <c r="K11">
        <v>0</v>
      </c>
      <c r="L11">
        <v>0</v>
      </c>
      <c r="M11">
        <v>0</v>
      </c>
      <c r="N11">
        <v>0</v>
      </c>
    </row>
    <row r="12" spans="1:15" x14ac:dyDescent="0.25">
      <c r="I12" t="s">
        <v>17</v>
      </c>
      <c r="J12">
        <v>0</v>
      </c>
      <c r="K12">
        <v>7</v>
      </c>
      <c r="L12">
        <v>0</v>
      </c>
      <c r="M12">
        <v>1</v>
      </c>
      <c r="N12">
        <v>4</v>
      </c>
    </row>
    <row r="13" spans="1:15" x14ac:dyDescent="0.25">
      <c r="I13" s="11" t="s">
        <v>19</v>
      </c>
      <c r="J13">
        <v>8</v>
      </c>
      <c r="K13">
        <v>12</v>
      </c>
      <c r="L13">
        <v>0</v>
      </c>
      <c r="M13">
        <v>13</v>
      </c>
      <c r="N13">
        <v>2</v>
      </c>
    </row>
    <row r="14" spans="1:15" x14ac:dyDescent="0.25">
      <c r="I14" s="11">
        <v>66</v>
      </c>
      <c r="J14">
        <v>19</v>
      </c>
      <c r="K14">
        <v>6</v>
      </c>
      <c r="L14">
        <v>0</v>
      </c>
      <c r="M14">
        <v>8</v>
      </c>
      <c r="N14">
        <v>0</v>
      </c>
    </row>
  </sheetData>
  <mergeCells count="3">
    <mergeCell ref="A1:O1"/>
    <mergeCell ref="A2:G2"/>
    <mergeCell ref="I2:O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A10" sqref="A10:G10"/>
    </sheetView>
  </sheetViews>
  <sheetFormatPr defaultRowHeight="15" x14ac:dyDescent="0.25"/>
  <cols>
    <col min="1" max="1" width="21" customWidth="1"/>
  </cols>
  <sheetData>
    <row r="1" spans="1:15" x14ac:dyDescent="0.25">
      <c r="A1" s="14">
        <f>DATE(2016,4,12)</f>
        <v>42472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75" x14ac:dyDescent="0.25">
      <c r="A2" s="15" t="s">
        <v>8</v>
      </c>
      <c r="B2" s="15"/>
      <c r="C2" s="15"/>
      <c r="D2" s="15"/>
      <c r="E2" s="15"/>
      <c r="F2" s="15"/>
      <c r="G2" s="15"/>
      <c r="I2" s="16" t="s">
        <v>18</v>
      </c>
      <c r="J2" s="16"/>
      <c r="K2" s="16"/>
      <c r="L2" s="16"/>
      <c r="M2" s="16"/>
      <c r="N2" s="16"/>
      <c r="O2" s="16"/>
    </row>
    <row r="3" spans="1:15" ht="15.75" x14ac:dyDescent="0.25">
      <c r="A3" s="4" t="s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I3" s="4" t="s">
        <v>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</row>
    <row r="4" spans="1:15" ht="15.75" x14ac:dyDescent="0.25">
      <c r="A4" s="1" t="s">
        <v>1</v>
      </c>
      <c r="B4">
        <v>89</v>
      </c>
      <c r="C4">
        <v>65</v>
      </c>
      <c r="D4">
        <v>109</v>
      </c>
      <c r="E4">
        <v>91</v>
      </c>
      <c r="F4">
        <v>75</v>
      </c>
      <c r="G4">
        <v>73</v>
      </c>
      <c r="I4" s="11" t="s">
        <v>9</v>
      </c>
      <c r="J4">
        <v>25</v>
      </c>
      <c r="K4">
        <v>22</v>
      </c>
      <c r="L4">
        <v>36</v>
      </c>
      <c r="M4">
        <v>22</v>
      </c>
      <c r="N4">
        <v>11</v>
      </c>
      <c r="O4">
        <v>2</v>
      </c>
    </row>
    <row r="5" spans="1:15" ht="15.75" x14ac:dyDescent="0.25">
      <c r="A5" s="2" t="s">
        <v>2</v>
      </c>
      <c r="B5">
        <v>191</v>
      </c>
      <c r="C5">
        <v>57</v>
      </c>
      <c r="D5">
        <v>144</v>
      </c>
      <c r="E5">
        <v>174</v>
      </c>
      <c r="F5">
        <v>12</v>
      </c>
      <c r="G5">
        <v>27</v>
      </c>
      <c r="I5" s="11" t="s">
        <v>10</v>
      </c>
      <c r="J5">
        <v>63</v>
      </c>
      <c r="K5">
        <v>161</v>
      </c>
      <c r="L5">
        <v>57</v>
      </c>
      <c r="M5">
        <v>347</v>
      </c>
      <c r="N5">
        <v>25</v>
      </c>
      <c r="O5">
        <v>15</v>
      </c>
    </row>
    <row r="6" spans="1:15" ht="15.75" x14ac:dyDescent="0.25">
      <c r="A6" s="2" t="s">
        <v>3</v>
      </c>
      <c r="B6">
        <v>6</v>
      </c>
      <c r="C6">
        <v>14</v>
      </c>
      <c r="D6">
        <v>22</v>
      </c>
      <c r="E6">
        <v>18</v>
      </c>
      <c r="F6">
        <v>21</v>
      </c>
      <c r="G6">
        <v>7</v>
      </c>
      <c r="I6" s="11" t="s">
        <v>11</v>
      </c>
      <c r="J6">
        <v>30</v>
      </c>
      <c r="K6">
        <v>21</v>
      </c>
      <c r="L6">
        <v>16</v>
      </c>
      <c r="M6">
        <v>8</v>
      </c>
      <c r="N6">
        <v>19</v>
      </c>
      <c r="O6">
        <v>2</v>
      </c>
    </row>
    <row r="7" spans="1:15" ht="15.75" x14ac:dyDescent="0.25">
      <c r="A7" s="1" t="s">
        <v>4</v>
      </c>
      <c r="B7">
        <v>2</v>
      </c>
      <c r="C7">
        <v>1</v>
      </c>
      <c r="D7">
        <v>0</v>
      </c>
      <c r="E7">
        <v>0</v>
      </c>
      <c r="F7">
        <v>0</v>
      </c>
      <c r="G7">
        <v>1</v>
      </c>
      <c r="I7" s="11" t="s">
        <v>12</v>
      </c>
      <c r="J7">
        <v>19</v>
      </c>
      <c r="K7">
        <v>5</v>
      </c>
      <c r="M7">
        <v>85</v>
      </c>
      <c r="N7">
        <v>0</v>
      </c>
      <c r="O7">
        <v>0</v>
      </c>
    </row>
    <row r="8" spans="1:15" ht="15.75" x14ac:dyDescent="0.25">
      <c r="A8" s="1" t="s">
        <v>5</v>
      </c>
      <c r="B8">
        <v>23</v>
      </c>
      <c r="C8">
        <v>0</v>
      </c>
      <c r="D8">
        <v>10</v>
      </c>
      <c r="E8">
        <v>0</v>
      </c>
      <c r="F8">
        <v>0</v>
      </c>
      <c r="G8">
        <v>0</v>
      </c>
      <c r="I8" s="11" t="s">
        <v>13</v>
      </c>
      <c r="J8">
        <v>5</v>
      </c>
      <c r="K8">
        <v>13</v>
      </c>
      <c r="L8">
        <v>2</v>
      </c>
      <c r="M8">
        <v>0</v>
      </c>
      <c r="N8">
        <v>0</v>
      </c>
      <c r="O8">
        <v>2</v>
      </c>
    </row>
    <row r="9" spans="1:15" ht="15.75" x14ac:dyDescent="0.25">
      <c r="A9" s="1" t="s">
        <v>6</v>
      </c>
      <c r="B9">
        <v>27</v>
      </c>
      <c r="C9">
        <v>8</v>
      </c>
      <c r="D9">
        <v>9</v>
      </c>
      <c r="E9">
        <v>29</v>
      </c>
      <c r="F9">
        <v>20</v>
      </c>
      <c r="G9">
        <v>9</v>
      </c>
      <c r="I9" s="11" t="s">
        <v>14</v>
      </c>
      <c r="J9">
        <v>5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ht="15.75" x14ac:dyDescent="0.25">
      <c r="A10" s="3" t="s">
        <v>7</v>
      </c>
      <c r="B10">
        <v>160</v>
      </c>
      <c r="C10">
        <v>100</v>
      </c>
      <c r="D10">
        <v>100</v>
      </c>
      <c r="E10">
        <v>79</v>
      </c>
      <c r="F10">
        <v>101</v>
      </c>
      <c r="G10">
        <v>47</v>
      </c>
      <c r="I10" s="11" t="s">
        <v>15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I11" s="11" t="s">
        <v>16</v>
      </c>
      <c r="J11">
        <v>1</v>
      </c>
      <c r="K11">
        <v>3</v>
      </c>
      <c r="L11">
        <v>2</v>
      </c>
      <c r="M11">
        <v>3</v>
      </c>
      <c r="N11">
        <v>3</v>
      </c>
      <c r="O11">
        <v>0</v>
      </c>
    </row>
    <row r="12" spans="1:15" x14ac:dyDescent="0.25">
      <c r="I12" s="11" t="s">
        <v>17</v>
      </c>
      <c r="J12">
        <v>56</v>
      </c>
      <c r="K12">
        <v>131</v>
      </c>
      <c r="L12">
        <v>11</v>
      </c>
      <c r="M12">
        <v>9</v>
      </c>
      <c r="N12">
        <v>0</v>
      </c>
      <c r="O12">
        <v>0</v>
      </c>
    </row>
    <row r="13" spans="1:15" x14ac:dyDescent="0.25">
      <c r="I13" s="11" t="s">
        <v>19</v>
      </c>
      <c r="J13">
        <v>5</v>
      </c>
      <c r="K13">
        <v>8</v>
      </c>
      <c r="L13">
        <v>13</v>
      </c>
      <c r="M13">
        <v>7</v>
      </c>
      <c r="N13">
        <v>16</v>
      </c>
      <c r="O13">
        <v>17</v>
      </c>
    </row>
    <row r="14" spans="1:15" x14ac:dyDescent="0.25">
      <c r="I14" s="11">
        <v>66</v>
      </c>
      <c r="J14">
        <v>36</v>
      </c>
      <c r="K14">
        <v>10</v>
      </c>
      <c r="L14">
        <v>23</v>
      </c>
      <c r="M14">
        <v>31</v>
      </c>
      <c r="N14">
        <v>18</v>
      </c>
      <c r="O14">
        <v>21</v>
      </c>
    </row>
  </sheetData>
  <mergeCells count="3">
    <mergeCell ref="A1:O1"/>
    <mergeCell ref="A2:G2"/>
    <mergeCell ref="I2:O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A10" sqref="A10:G10"/>
    </sheetView>
  </sheetViews>
  <sheetFormatPr defaultRowHeight="15" x14ac:dyDescent="0.25"/>
  <cols>
    <col min="1" max="1" width="21" customWidth="1"/>
  </cols>
  <sheetData>
    <row r="1" spans="1:15" x14ac:dyDescent="0.25">
      <c r="A1" s="14">
        <f>DATE(2016,4,13)</f>
        <v>42473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75" x14ac:dyDescent="0.25">
      <c r="A2" s="15" t="s">
        <v>8</v>
      </c>
      <c r="B2" s="15"/>
      <c r="C2" s="15"/>
      <c r="D2" s="15"/>
      <c r="E2" s="15"/>
      <c r="F2" s="15"/>
      <c r="G2" s="15"/>
      <c r="I2" s="16" t="s">
        <v>18</v>
      </c>
      <c r="J2" s="16"/>
      <c r="K2" s="16"/>
      <c r="L2" s="16"/>
      <c r="M2" s="16"/>
      <c r="N2" s="16"/>
      <c r="O2" s="16"/>
    </row>
    <row r="3" spans="1:15" ht="15.75" x14ac:dyDescent="0.25">
      <c r="A3" s="9" t="s">
        <v>0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I3" s="7" t="s">
        <v>0</v>
      </c>
      <c r="J3" s="8">
        <v>1</v>
      </c>
      <c r="K3" s="8">
        <v>2</v>
      </c>
      <c r="L3" s="8">
        <v>3</v>
      </c>
      <c r="M3" s="8">
        <v>4</v>
      </c>
      <c r="N3" s="8">
        <v>5</v>
      </c>
      <c r="O3" s="8">
        <v>6</v>
      </c>
    </row>
    <row r="4" spans="1:15" ht="15.75" x14ac:dyDescent="0.25">
      <c r="A4" s="1" t="s">
        <v>1</v>
      </c>
      <c r="B4">
        <v>135</v>
      </c>
      <c r="C4">
        <v>188</v>
      </c>
      <c r="D4">
        <v>287</v>
      </c>
      <c r="E4">
        <v>152</v>
      </c>
      <c r="F4">
        <v>249</v>
      </c>
      <c r="G4">
        <v>70</v>
      </c>
      <c r="I4" t="s">
        <v>9</v>
      </c>
      <c r="J4">
        <v>25</v>
      </c>
      <c r="K4">
        <v>22</v>
      </c>
      <c r="L4">
        <v>23</v>
      </c>
      <c r="M4">
        <v>34</v>
      </c>
      <c r="N4">
        <v>5</v>
      </c>
      <c r="O4">
        <v>3</v>
      </c>
    </row>
    <row r="5" spans="1:15" ht="15.75" x14ac:dyDescent="0.25">
      <c r="A5" s="2" t="s">
        <v>2</v>
      </c>
      <c r="B5">
        <v>204</v>
      </c>
      <c r="C5">
        <v>75</v>
      </c>
      <c r="D5">
        <v>434</v>
      </c>
      <c r="E5">
        <v>212</v>
      </c>
      <c r="F5">
        <v>52</v>
      </c>
      <c r="G5">
        <v>101</v>
      </c>
      <c r="I5" t="s">
        <v>10</v>
      </c>
      <c r="J5">
        <v>131</v>
      </c>
      <c r="K5">
        <v>104</v>
      </c>
      <c r="L5">
        <v>64</v>
      </c>
      <c r="M5">
        <v>363</v>
      </c>
      <c r="N5">
        <v>47</v>
      </c>
      <c r="O5">
        <v>26</v>
      </c>
    </row>
    <row r="6" spans="1:15" ht="15.75" x14ac:dyDescent="0.25">
      <c r="A6" s="2" t="s">
        <v>3</v>
      </c>
      <c r="B6">
        <v>26</v>
      </c>
      <c r="C6">
        <v>24</v>
      </c>
      <c r="D6">
        <v>14</v>
      </c>
      <c r="E6">
        <v>29</v>
      </c>
      <c r="F6">
        <v>16</v>
      </c>
      <c r="G6">
        <v>10</v>
      </c>
      <c r="I6" t="s">
        <v>11</v>
      </c>
      <c r="J6">
        <v>26</v>
      </c>
      <c r="K6">
        <v>34</v>
      </c>
      <c r="L6">
        <v>21</v>
      </c>
      <c r="M6">
        <v>18</v>
      </c>
      <c r="N6">
        <v>14</v>
      </c>
      <c r="O6">
        <v>6</v>
      </c>
    </row>
    <row r="7" spans="1:15" ht="15.75" x14ac:dyDescent="0.25">
      <c r="A7" s="1" t="s">
        <v>4</v>
      </c>
      <c r="B7">
        <v>2</v>
      </c>
      <c r="C7">
        <v>0</v>
      </c>
      <c r="D7">
        <v>1</v>
      </c>
      <c r="E7">
        <v>0</v>
      </c>
      <c r="F7">
        <v>0</v>
      </c>
      <c r="G7">
        <v>0</v>
      </c>
      <c r="I7" t="s">
        <v>12</v>
      </c>
      <c r="J7">
        <v>2</v>
      </c>
      <c r="K7">
        <v>20</v>
      </c>
      <c r="L7">
        <v>0</v>
      </c>
      <c r="M7">
        <v>3</v>
      </c>
      <c r="N7">
        <v>0</v>
      </c>
      <c r="O7">
        <v>0</v>
      </c>
    </row>
    <row r="8" spans="1:15" ht="15.75" x14ac:dyDescent="0.25">
      <c r="A8" s="1" t="s">
        <v>5</v>
      </c>
      <c r="B8">
        <v>8</v>
      </c>
      <c r="C8">
        <v>43</v>
      </c>
      <c r="D8">
        <v>112</v>
      </c>
      <c r="E8">
        <v>48</v>
      </c>
      <c r="F8">
        <v>82</v>
      </c>
      <c r="G8">
        <v>0</v>
      </c>
      <c r="I8" t="s">
        <v>13</v>
      </c>
      <c r="J8">
        <v>7</v>
      </c>
      <c r="K8">
        <v>18</v>
      </c>
      <c r="L8">
        <v>3</v>
      </c>
      <c r="M8">
        <v>2</v>
      </c>
      <c r="N8">
        <v>0</v>
      </c>
      <c r="O8">
        <v>0</v>
      </c>
    </row>
    <row r="9" spans="1:15" ht="15.75" x14ac:dyDescent="0.25">
      <c r="A9" s="1" t="s">
        <v>6</v>
      </c>
      <c r="B9">
        <v>21</v>
      </c>
      <c r="C9">
        <v>34</v>
      </c>
      <c r="D9">
        <v>48</v>
      </c>
      <c r="E9">
        <v>40</v>
      </c>
      <c r="F9">
        <v>26</v>
      </c>
      <c r="G9">
        <v>5</v>
      </c>
      <c r="I9" t="s">
        <v>14</v>
      </c>
      <c r="J9">
        <v>0</v>
      </c>
      <c r="K9">
        <v>11</v>
      </c>
      <c r="L9">
        <v>0</v>
      </c>
      <c r="M9">
        <v>7</v>
      </c>
      <c r="N9">
        <v>0</v>
      </c>
      <c r="O9">
        <v>0</v>
      </c>
    </row>
    <row r="10" spans="1:15" ht="15.75" x14ac:dyDescent="0.25">
      <c r="A10" s="3" t="s">
        <v>7</v>
      </c>
      <c r="B10">
        <v>81</v>
      </c>
      <c r="C10">
        <v>149</v>
      </c>
      <c r="D10">
        <v>212</v>
      </c>
      <c r="E10">
        <v>113</v>
      </c>
      <c r="F10">
        <v>26</v>
      </c>
      <c r="G10">
        <v>17</v>
      </c>
      <c r="I10" t="s">
        <v>15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</row>
    <row r="11" spans="1:15" x14ac:dyDescent="0.25">
      <c r="I11" t="s">
        <v>16</v>
      </c>
      <c r="J11">
        <v>2</v>
      </c>
      <c r="K11">
        <v>0</v>
      </c>
      <c r="L11">
        <v>1</v>
      </c>
      <c r="M11">
        <v>5</v>
      </c>
      <c r="N11">
        <v>1</v>
      </c>
      <c r="O11">
        <v>0</v>
      </c>
    </row>
    <row r="12" spans="1:15" x14ac:dyDescent="0.25">
      <c r="I12" t="s">
        <v>17</v>
      </c>
      <c r="J12">
        <v>10</v>
      </c>
      <c r="K12">
        <v>277</v>
      </c>
      <c r="L12">
        <v>10</v>
      </c>
      <c r="M12">
        <v>12</v>
      </c>
      <c r="N12">
        <v>0</v>
      </c>
      <c r="O12">
        <v>4</v>
      </c>
    </row>
    <row r="13" spans="1:15" x14ac:dyDescent="0.25">
      <c r="I13" t="s">
        <v>19</v>
      </c>
      <c r="J13">
        <v>7</v>
      </c>
      <c r="K13">
        <v>18</v>
      </c>
      <c r="L13">
        <v>32</v>
      </c>
      <c r="M13">
        <v>12</v>
      </c>
      <c r="N13">
        <v>9</v>
      </c>
      <c r="O13">
        <v>5</v>
      </c>
    </row>
    <row r="14" spans="1:15" x14ac:dyDescent="0.25">
      <c r="I14">
        <v>66</v>
      </c>
      <c r="J14">
        <v>66</v>
      </c>
      <c r="K14">
        <v>52</v>
      </c>
      <c r="L14">
        <v>62</v>
      </c>
      <c r="M14">
        <v>39</v>
      </c>
      <c r="N14">
        <v>27</v>
      </c>
      <c r="O14">
        <v>9</v>
      </c>
    </row>
  </sheetData>
  <mergeCells count="3">
    <mergeCell ref="A1:O1"/>
    <mergeCell ref="A2:G2"/>
    <mergeCell ref="I2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A10" sqref="A10:G10"/>
    </sheetView>
  </sheetViews>
  <sheetFormatPr defaultRowHeight="15" x14ac:dyDescent="0.25"/>
  <cols>
    <col min="1" max="1" width="20.85546875" customWidth="1"/>
  </cols>
  <sheetData>
    <row r="1" spans="1:15" x14ac:dyDescent="0.25">
      <c r="A1" s="14">
        <f>DATE(2016,4,14)</f>
        <v>42474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75" x14ac:dyDescent="0.25">
      <c r="A2" s="15" t="s">
        <v>8</v>
      </c>
      <c r="B2" s="15"/>
      <c r="C2" s="15"/>
      <c r="D2" s="15"/>
      <c r="E2" s="15"/>
      <c r="F2" s="15"/>
      <c r="G2" s="15"/>
      <c r="I2" s="16" t="s">
        <v>18</v>
      </c>
      <c r="J2" s="16"/>
      <c r="K2" s="16"/>
      <c r="L2" s="16"/>
      <c r="M2" s="16"/>
      <c r="N2" s="16"/>
      <c r="O2" s="16"/>
    </row>
    <row r="3" spans="1:15" ht="15.75" x14ac:dyDescent="0.25">
      <c r="A3" s="4" t="s">
        <v>0</v>
      </c>
      <c r="B3" t="s">
        <v>21</v>
      </c>
      <c r="C3" t="s">
        <v>23</v>
      </c>
      <c r="D3" t="s">
        <v>24</v>
      </c>
      <c r="E3" t="s">
        <v>22</v>
      </c>
      <c r="F3" t="s">
        <v>25</v>
      </c>
      <c r="G3" t="s">
        <v>26</v>
      </c>
      <c r="I3" s="4" t="s">
        <v>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</row>
    <row r="4" spans="1:15" ht="15.75" x14ac:dyDescent="0.25">
      <c r="A4" s="1" t="s">
        <v>1</v>
      </c>
      <c r="B4">
        <v>109</v>
      </c>
      <c r="C4">
        <v>54</v>
      </c>
      <c r="D4">
        <v>145</v>
      </c>
      <c r="E4">
        <v>65</v>
      </c>
      <c r="F4">
        <v>34</v>
      </c>
      <c r="G4">
        <v>99</v>
      </c>
      <c r="I4" t="s">
        <v>9</v>
      </c>
      <c r="J4">
        <v>10</v>
      </c>
      <c r="K4">
        <v>24</v>
      </c>
      <c r="L4">
        <v>17</v>
      </c>
      <c r="M4">
        <v>6</v>
      </c>
      <c r="N4">
        <v>1</v>
      </c>
      <c r="O4">
        <v>3</v>
      </c>
    </row>
    <row r="5" spans="1:15" ht="15.75" x14ac:dyDescent="0.25">
      <c r="A5" s="2" t="s">
        <v>2</v>
      </c>
      <c r="B5">
        <v>145</v>
      </c>
      <c r="C5">
        <v>35</v>
      </c>
      <c r="D5">
        <v>301</v>
      </c>
      <c r="E5">
        <v>190</v>
      </c>
      <c r="F5">
        <v>64</v>
      </c>
      <c r="G5">
        <v>73</v>
      </c>
      <c r="I5" t="s">
        <v>10</v>
      </c>
      <c r="J5">
        <v>55</v>
      </c>
      <c r="K5">
        <v>41</v>
      </c>
      <c r="L5">
        <v>44</v>
      </c>
      <c r="M5">
        <v>121</v>
      </c>
      <c r="N5">
        <v>9</v>
      </c>
      <c r="O5">
        <v>39</v>
      </c>
    </row>
    <row r="6" spans="1:15" ht="15.75" x14ac:dyDescent="0.25">
      <c r="A6" s="2" t="s">
        <v>3</v>
      </c>
      <c r="B6">
        <v>26</v>
      </c>
      <c r="C6">
        <v>8</v>
      </c>
      <c r="D6">
        <v>17</v>
      </c>
      <c r="E6">
        <v>15</v>
      </c>
      <c r="F6">
        <v>6</v>
      </c>
      <c r="G6">
        <v>18</v>
      </c>
      <c r="I6" t="s">
        <v>11</v>
      </c>
      <c r="J6">
        <v>13</v>
      </c>
      <c r="K6">
        <v>4</v>
      </c>
      <c r="L6">
        <v>20</v>
      </c>
      <c r="M6">
        <v>3</v>
      </c>
      <c r="N6">
        <v>22</v>
      </c>
      <c r="O6">
        <v>11</v>
      </c>
    </row>
    <row r="7" spans="1:15" ht="15.75" x14ac:dyDescent="0.25">
      <c r="A7" s="1" t="s">
        <v>4</v>
      </c>
      <c r="B7">
        <v>6</v>
      </c>
      <c r="C7">
        <v>3</v>
      </c>
      <c r="D7">
        <v>0</v>
      </c>
      <c r="E7">
        <v>3</v>
      </c>
      <c r="F7">
        <v>0</v>
      </c>
      <c r="G7">
        <v>0</v>
      </c>
      <c r="I7" t="s">
        <v>12</v>
      </c>
      <c r="J7">
        <v>7</v>
      </c>
      <c r="K7">
        <v>20</v>
      </c>
      <c r="L7">
        <v>0</v>
      </c>
      <c r="M7">
        <v>0</v>
      </c>
      <c r="N7">
        <v>0</v>
      </c>
      <c r="O7">
        <v>0</v>
      </c>
    </row>
    <row r="8" spans="1:15" ht="15.75" x14ac:dyDescent="0.25">
      <c r="A8" s="1" t="s">
        <v>5</v>
      </c>
      <c r="B8">
        <v>78</v>
      </c>
      <c r="C8">
        <v>43</v>
      </c>
      <c r="D8">
        <v>61</v>
      </c>
      <c r="E8">
        <v>28</v>
      </c>
      <c r="F8">
        <v>41</v>
      </c>
      <c r="G8">
        <v>9</v>
      </c>
      <c r="I8" t="s">
        <v>13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ht="15.75" x14ac:dyDescent="0.25">
      <c r="A9" s="1" t="s">
        <v>6</v>
      </c>
      <c r="B9">
        <v>25</v>
      </c>
      <c r="C9">
        <v>8</v>
      </c>
      <c r="D9">
        <v>31</v>
      </c>
      <c r="E9">
        <v>25</v>
      </c>
      <c r="F9">
        <v>3</v>
      </c>
      <c r="G9">
        <v>15</v>
      </c>
      <c r="I9" t="s">
        <v>14</v>
      </c>
      <c r="J9">
        <v>0</v>
      </c>
      <c r="K9">
        <v>3</v>
      </c>
      <c r="L9">
        <v>9</v>
      </c>
      <c r="M9">
        <v>10</v>
      </c>
      <c r="N9">
        <v>0</v>
      </c>
      <c r="O9">
        <v>3</v>
      </c>
    </row>
    <row r="10" spans="1:15" ht="15.75" x14ac:dyDescent="0.25">
      <c r="A10" s="3" t="s">
        <v>7</v>
      </c>
      <c r="B10">
        <v>40</v>
      </c>
      <c r="C10">
        <v>54</v>
      </c>
      <c r="D10">
        <v>63</v>
      </c>
      <c r="E10">
        <v>42</v>
      </c>
      <c r="F10">
        <v>27</v>
      </c>
      <c r="G10">
        <v>53</v>
      </c>
      <c r="I10" t="s">
        <v>15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I11" t="s">
        <v>16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</row>
    <row r="12" spans="1:15" x14ac:dyDescent="0.25">
      <c r="I12" t="s">
        <v>17</v>
      </c>
      <c r="J12">
        <v>1</v>
      </c>
      <c r="K12">
        <v>11</v>
      </c>
      <c r="L12">
        <v>1</v>
      </c>
      <c r="M12">
        <v>3</v>
      </c>
      <c r="N12">
        <v>0</v>
      </c>
      <c r="O12">
        <v>0</v>
      </c>
    </row>
    <row r="13" spans="1:15" x14ac:dyDescent="0.25">
      <c r="I13" t="s">
        <v>19</v>
      </c>
      <c r="J13">
        <v>4</v>
      </c>
      <c r="K13">
        <v>2</v>
      </c>
      <c r="L13">
        <v>27</v>
      </c>
      <c r="M13">
        <v>6</v>
      </c>
      <c r="N13">
        <v>12</v>
      </c>
      <c r="O13">
        <v>26</v>
      </c>
    </row>
    <row r="14" spans="1:15" x14ac:dyDescent="0.25">
      <c r="I14">
        <v>66</v>
      </c>
      <c r="J14">
        <v>45</v>
      </c>
      <c r="K14">
        <v>42</v>
      </c>
      <c r="L14">
        <v>70</v>
      </c>
      <c r="M14">
        <v>39</v>
      </c>
      <c r="N14">
        <v>29</v>
      </c>
      <c r="O14">
        <v>66</v>
      </c>
    </row>
  </sheetData>
  <mergeCells count="3">
    <mergeCell ref="A1:O1"/>
    <mergeCell ref="A2:G2"/>
    <mergeCell ref="I2:O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A6" sqref="A6:G6"/>
    </sheetView>
  </sheetViews>
  <sheetFormatPr defaultRowHeight="15" x14ac:dyDescent="0.25"/>
  <cols>
    <col min="1" max="1" width="20.42578125" customWidth="1"/>
  </cols>
  <sheetData>
    <row r="1" spans="1:17" x14ac:dyDescent="0.25">
      <c r="A1" s="14">
        <f>DATE(2016,4,15)</f>
        <v>42475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5"/>
      <c r="Q1" s="5"/>
    </row>
    <row r="2" spans="1:17" ht="15.75" x14ac:dyDescent="0.25">
      <c r="A2" s="15" t="s">
        <v>8</v>
      </c>
      <c r="B2" s="15"/>
      <c r="C2" s="15"/>
      <c r="D2" s="15"/>
      <c r="E2" s="15"/>
      <c r="F2" s="15"/>
      <c r="G2" s="15"/>
      <c r="I2" s="16" t="s">
        <v>18</v>
      </c>
      <c r="J2" s="16"/>
      <c r="K2" s="16"/>
      <c r="L2" s="16"/>
      <c r="M2" s="16"/>
      <c r="N2" s="16"/>
      <c r="O2" s="16"/>
    </row>
    <row r="3" spans="1:17" ht="15.75" x14ac:dyDescent="0.25">
      <c r="A3" s="4" t="s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I3" s="4" t="s">
        <v>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</row>
    <row r="4" spans="1:17" ht="15.75" x14ac:dyDescent="0.25">
      <c r="A4" s="1" t="s">
        <v>1</v>
      </c>
      <c r="B4">
        <v>64</v>
      </c>
      <c r="C4">
        <v>49</v>
      </c>
      <c r="D4">
        <v>43</v>
      </c>
      <c r="E4" s="6">
        <v>62</v>
      </c>
      <c r="F4">
        <v>23</v>
      </c>
      <c r="G4">
        <v>55</v>
      </c>
      <c r="I4" t="s">
        <v>9</v>
      </c>
      <c r="J4">
        <v>8</v>
      </c>
      <c r="K4">
        <v>17</v>
      </c>
      <c r="L4">
        <v>7</v>
      </c>
      <c r="M4" s="6">
        <v>0</v>
      </c>
      <c r="N4">
        <v>0</v>
      </c>
      <c r="O4">
        <v>6</v>
      </c>
    </row>
    <row r="5" spans="1:17" ht="15.75" x14ac:dyDescent="0.25">
      <c r="A5" s="2" t="s">
        <v>2</v>
      </c>
      <c r="B5">
        <v>46</v>
      </c>
      <c r="C5">
        <v>178</v>
      </c>
      <c r="D5">
        <v>13</v>
      </c>
      <c r="E5" s="6">
        <v>153</v>
      </c>
      <c r="F5">
        <v>76</v>
      </c>
      <c r="G5">
        <v>25</v>
      </c>
      <c r="I5" t="s">
        <v>10</v>
      </c>
      <c r="J5">
        <v>61</v>
      </c>
      <c r="K5">
        <v>120</v>
      </c>
      <c r="L5">
        <v>44</v>
      </c>
      <c r="M5" s="6">
        <v>172</v>
      </c>
      <c r="N5">
        <v>15</v>
      </c>
      <c r="O5">
        <v>18</v>
      </c>
    </row>
    <row r="6" spans="1:17" ht="15.75" x14ac:dyDescent="0.25">
      <c r="A6" s="2" t="s">
        <v>3</v>
      </c>
      <c r="B6">
        <v>2</v>
      </c>
      <c r="C6">
        <v>9</v>
      </c>
      <c r="D6">
        <v>2</v>
      </c>
      <c r="E6" s="6">
        <v>17</v>
      </c>
      <c r="F6">
        <v>8</v>
      </c>
      <c r="G6">
        <v>13</v>
      </c>
      <c r="I6" t="s">
        <v>11</v>
      </c>
      <c r="J6">
        <v>14</v>
      </c>
      <c r="K6">
        <v>19</v>
      </c>
      <c r="L6">
        <v>22</v>
      </c>
      <c r="M6" s="6">
        <v>0</v>
      </c>
      <c r="N6">
        <v>0</v>
      </c>
      <c r="O6">
        <v>5</v>
      </c>
    </row>
    <row r="7" spans="1:17" ht="15.75" x14ac:dyDescent="0.25">
      <c r="A7" s="1" t="s">
        <v>4</v>
      </c>
      <c r="B7">
        <v>0</v>
      </c>
      <c r="C7">
        <v>1</v>
      </c>
      <c r="D7">
        <v>0</v>
      </c>
      <c r="E7" s="6">
        <v>1</v>
      </c>
      <c r="F7">
        <v>0</v>
      </c>
      <c r="G7">
        <v>2</v>
      </c>
      <c r="I7" t="s">
        <v>12</v>
      </c>
      <c r="J7">
        <v>3</v>
      </c>
      <c r="K7">
        <v>101</v>
      </c>
      <c r="L7">
        <v>6</v>
      </c>
      <c r="M7" s="6">
        <v>0</v>
      </c>
      <c r="N7">
        <v>0</v>
      </c>
      <c r="O7">
        <v>0</v>
      </c>
    </row>
    <row r="8" spans="1:17" ht="15.75" x14ac:dyDescent="0.25">
      <c r="A8" s="1" t="s">
        <v>5</v>
      </c>
      <c r="B8">
        <v>0</v>
      </c>
      <c r="C8">
        <v>0</v>
      </c>
      <c r="D8">
        <v>15</v>
      </c>
      <c r="E8" s="6">
        <v>0</v>
      </c>
      <c r="F8">
        <v>0</v>
      </c>
      <c r="G8">
        <v>30</v>
      </c>
      <c r="I8" t="s">
        <v>13</v>
      </c>
      <c r="J8">
        <v>0</v>
      </c>
      <c r="K8">
        <v>95</v>
      </c>
      <c r="L8">
        <v>3</v>
      </c>
      <c r="M8" s="6">
        <v>0</v>
      </c>
      <c r="N8">
        <v>0</v>
      </c>
      <c r="O8">
        <v>0</v>
      </c>
    </row>
    <row r="9" spans="1:17" ht="15.75" x14ac:dyDescent="0.25">
      <c r="A9" s="1" t="s">
        <v>6</v>
      </c>
      <c r="B9">
        <v>7</v>
      </c>
      <c r="C9">
        <v>19</v>
      </c>
      <c r="D9">
        <v>9</v>
      </c>
      <c r="E9" s="6">
        <v>0</v>
      </c>
      <c r="F9">
        <v>5</v>
      </c>
      <c r="G9">
        <v>21</v>
      </c>
      <c r="I9" t="s">
        <v>14</v>
      </c>
      <c r="J9">
        <v>4</v>
      </c>
      <c r="K9">
        <v>0</v>
      </c>
      <c r="L9">
        <v>0</v>
      </c>
      <c r="M9" s="6">
        <v>0</v>
      </c>
      <c r="N9">
        <v>0</v>
      </c>
      <c r="O9">
        <v>0</v>
      </c>
    </row>
    <row r="10" spans="1:17" ht="15.75" x14ac:dyDescent="0.25">
      <c r="A10" s="3" t="s">
        <v>7</v>
      </c>
      <c r="B10">
        <v>36</v>
      </c>
      <c r="C10">
        <v>60</v>
      </c>
      <c r="D10">
        <v>16</v>
      </c>
      <c r="E10" s="6">
        <v>19</v>
      </c>
      <c r="F10">
        <v>8</v>
      </c>
      <c r="G10">
        <v>40</v>
      </c>
      <c r="I10" t="s">
        <v>15</v>
      </c>
      <c r="J10">
        <v>0</v>
      </c>
      <c r="K10">
        <v>0</v>
      </c>
      <c r="L10">
        <v>0</v>
      </c>
      <c r="M10" s="6">
        <v>0</v>
      </c>
      <c r="N10">
        <v>0</v>
      </c>
      <c r="O10">
        <v>0</v>
      </c>
    </row>
    <row r="11" spans="1:17" x14ac:dyDescent="0.25">
      <c r="I11" t="s">
        <v>16</v>
      </c>
      <c r="J11">
        <v>1</v>
      </c>
      <c r="K11">
        <v>0</v>
      </c>
      <c r="L11">
        <v>0</v>
      </c>
      <c r="M11" s="6">
        <v>0</v>
      </c>
      <c r="N11">
        <v>0</v>
      </c>
      <c r="O11">
        <v>2</v>
      </c>
    </row>
    <row r="12" spans="1:17" x14ac:dyDescent="0.25">
      <c r="I12" t="s">
        <v>17</v>
      </c>
      <c r="J12">
        <v>0</v>
      </c>
      <c r="K12">
        <v>28</v>
      </c>
      <c r="L12">
        <v>0</v>
      </c>
      <c r="M12" s="6">
        <v>0</v>
      </c>
      <c r="N12">
        <v>0</v>
      </c>
      <c r="O12">
        <v>0</v>
      </c>
    </row>
    <row r="13" spans="1:17" x14ac:dyDescent="0.25">
      <c r="I13" t="s">
        <v>19</v>
      </c>
      <c r="J13">
        <v>7</v>
      </c>
      <c r="K13">
        <v>15</v>
      </c>
      <c r="L13">
        <v>11</v>
      </c>
      <c r="M13" s="6">
        <v>16</v>
      </c>
      <c r="N13">
        <v>11</v>
      </c>
      <c r="O13">
        <v>9</v>
      </c>
    </row>
    <row r="14" spans="1:17" x14ac:dyDescent="0.25">
      <c r="I14">
        <v>66</v>
      </c>
      <c r="J14">
        <v>108</v>
      </c>
      <c r="K14">
        <v>106</v>
      </c>
      <c r="L14">
        <v>29</v>
      </c>
      <c r="M14" s="6">
        <v>67</v>
      </c>
      <c r="N14">
        <v>6</v>
      </c>
      <c r="O14">
        <v>10</v>
      </c>
    </row>
  </sheetData>
  <mergeCells count="3">
    <mergeCell ref="A1:O1"/>
    <mergeCell ref="I2:O2"/>
    <mergeCell ref="A2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A6" sqref="A6:G6"/>
    </sheetView>
  </sheetViews>
  <sheetFormatPr defaultRowHeight="15" x14ac:dyDescent="0.25"/>
  <cols>
    <col min="1" max="1" width="20.7109375" customWidth="1"/>
  </cols>
  <sheetData>
    <row r="1" spans="1:15" x14ac:dyDescent="0.25">
      <c r="A1" s="14">
        <f>DATE(2016,4,18)</f>
        <v>42478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75" x14ac:dyDescent="0.25">
      <c r="A2" s="15" t="s">
        <v>8</v>
      </c>
      <c r="B2" s="15"/>
      <c r="C2" s="15"/>
      <c r="D2" s="15"/>
      <c r="E2" s="15"/>
      <c r="F2" s="15"/>
      <c r="G2" s="15"/>
      <c r="I2" s="16" t="s">
        <v>18</v>
      </c>
      <c r="J2" s="16"/>
      <c r="K2" s="16"/>
      <c r="L2" s="16"/>
      <c r="M2" s="16"/>
      <c r="N2" s="16"/>
      <c r="O2" s="16"/>
    </row>
    <row r="3" spans="1:15" ht="15.75" x14ac:dyDescent="0.25">
      <c r="A3" s="4" t="s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I3" s="4" t="s">
        <v>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</row>
    <row r="4" spans="1:15" ht="15.75" x14ac:dyDescent="0.25">
      <c r="A4" s="1" t="s">
        <v>1</v>
      </c>
      <c r="B4">
        <v>112</v>
      </c>
      <c r="C4">
        <v>40</v>
      </c>
      <c r="F4">
        <v>45</v>
      </c>
      <c r="G4">
        <v>48</v>
      </c>
      <c r="I4" t="s">
        <v>9</v>
      </c>
      <c r="J4">
        <v>5</v>
      </c>
      <c r="K4">
        <v>2</v>
      </c>
      <c r="N4">
        <v>3</v>
      </c>
    </row>
    <row r="5" spans="1:15" ht="15.75" x14ac:dyDescent="0.25">
      <c r="A5" s="2" t="s">
        <v>2</v>
      </c>
      <c r="B5">
        <v>65</v>
      </c>
      <c r="C5">
        <v>5</v>
      </c>
      <c r="F5">
        <v>22</v>
      </c>
      <c r="G5">
        <v>5</v>
      </c>
      <c r="I5" t="s">
        <v>10</v>
      </c>
      <c r="J5">
        <v>147</v>
      </c>
      <c r="K5">
        <v>35</v>
      </c>
      <c r="N5">
        <v>65</v>
      </c>
      <c r="O5">
        <v>5</v>
      </c>
    </row>
    <row r="6" spans="1:15" ht="15.75" x14ac:dyDescent="0.25">
      <c r="A6" s="2" t="s">
        <v>3</v>
      </c>
      <c r="B6">
        <v>26</v>
      </c>
      <c r="C6">
        <v>4</v>
      </c>
      <c r="F6">
        <v>7</v>
      </c>
      <c r="G6">
        <v>3</v>
      </c>
      <c r="I6" t="s">
        <v>11</v>
      </c>
      <c r="J6">
        <v>21</v>
      </c>
      <c r="K6">
        <v>1</v>
      </c>
      <c r="N6">
        <v>9</v>
      </c>
      <c r="O6">
        <v>1</v>
      </c>
    </row>
    <row r="7" spans="1:15" ht="15.75" x14ac:dyDescent="0.25">
      <c r="A7" s="1" t="s">
        <v>4</v>
      </c>
      <c r="B7">
        <v>0</v>
      </c>
      <c r="I7" t="s">
        <v>12</v>
      </c>
      <c r="J7">
        <v>45</v>
      </c>
    </row>
    <row r="8" spans="1:15" ht="15.75" x14ac:dyDescent="0.25">
      <c r="A8" s="1" t="s">
        <v>5</v>
      </c>
      <c r="B8">
        <v>9</v>
      </c>
      <c r="F8">
        <v>10</v>
      </c>
      <c r="G8">
        <v>36</v>
      </c>
      <c r="I8" t="s">
        <v>13</v>
      </c>
      <c r="J8">
        <v>7</v>
      </c>
      <c r="K8">
        <v>26</v>
      </c>
      <c r="N8">
        <v>4</v>
      </c>
      <c r="O8">
        <v>1</v>
      </c>
    </row>
    <row r="9" spans="1:15" ht="15.75" x14ac:dyDescent="0.25">
      <c r="A9" s="1" t="s">
        <v>6</v>
      </c>
      <c r="B9">
        <v>35</v>
      </c>
      <c r="C9">
        <v>8</v>
      </c>
      <c r="F9">
        <v>5</v>
      </c>
      <c r="G9">
        <v>12</v>
      </c>
      <c r="I9" t="s">
        <v>14</v>
      </c>
      <c r="J9">
        <v>0</v>
      </c>
    </row>
    <row r="10" spans="1:15" ht="15.75" x14ac:dyDescent="0.25">
      <c r="A10" s="3" t="s">
        <v>7</v>
      </c>
      <c r="B10">
        <v>86</v>
      </c>
      <c r="C10">
        <v>27</v>
      </c>
      <c r="F10">
        <v>16</v>
      </c>
      <c r="G10">
        <v>62</v>
      </c>
      <c r="I10" t="s">
        <v>15</v>
      </c>
      <c r="J10">
        <v>0</v>
      </c>
    </row>
    <row r="11" spans="1:15" x14ac:dyDescent="0.25">
      <c r="I11" t="s">
        <v>16</v>
      </c>
      <c r="J11">
        <v>1</v>
      </c>
    </row>
    <row r="12" spans="1:15" x14ac:dyDescent="0.25">
      <c r="I12" t="s">
        <v>17</v>
      </c>
      <c r="J12">
        <v>4</v>
      </c>
      <c r="K12">
        <v>9</v>
      </c>
      <c r="N12">
        <v>5</v>
      </c>
    </row>
    <row r="13" spans="1:15" x14ac:dyDescent="0.25">
      <c r="I13" t="s">
        <v>20</v>
      </c>
      <c r="J13">
        <v>12</v>
      </c>
      <c r="K13">
        <v>10</v>
      </c>
      <c r="N13">
        <v>4</v>
      </c>
      <c r="O13">
        <v>6</v>
      </c>
    </row>
    <row r="14" spans="1:15" x14ac:dyDescent="0.25">
      <c r="I14">
        <v>66</v>
      </c>
      <c r="J14">
        <v>67</v>
      </c>
      <c r="K14">
        <v>40</v>
      </c>
      <c r="N14">
        <v>7</v>
      </c>
      <c r="O14">
        <v>8</v>
      </c>
    </row>
    <row r="15" spans="1:15" x14ac:dyDescent="0.25">
      <c r="A15" t="s">
        <v>33</v>
      </c>
    </row>
  </sheetData>
  <mergeCells count="3">
    <mergeCell ref="A1:O1"/>
    <mergeCell ref="A2:G2"/>
    <mergeCell ref="I2:O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A6" sqref="A6:G6"/>
    </sheetView>
  </sheetViews>
  <sheetFormatPr defaultRowHeight="15" x14ac:dyDescent="0.25"/>
  <cols>
    <col min="1" max="1" width="23.28515625" customWidth="1"/>
  </cols>
  <sheetData>
    <row r="1" spans="1:15" x14ac:dyDescent="0.25">
      <c r="A1" s="14">
        <f>DATE(2016,4,19)</f>
        <v>42479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75" x14ac:dyDescent="0.25">
      <c r="A2" s="15" t="s">
        <v>8</v>
      </c>
      <c r="B2" s="15"/>
      <c r="C2" s="15"/>
      <c r="D2" s="15"/>
      <c r="E2" s="15"/>
      <c r="F2" s="15"/>
      <c r="G2" s="15"/>
      <c r="I2" s="16" t="s">
        <v>18</v>
      </c>
      <c r="J2" s="16"/>
      <c r="K2" s="16"/>
      <c r="L2" s="16"/>
      <c r="M2" s="16"/>
      <c r="N2" s="16"/>
      <c r="O2" s="16"/>
    </row>
    <row r="3" spans="1:15" ht="15.75" x14ac:dyDescent="0.25">
      <c r="A3" s="4" t="s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I3" s="4" t="s">
        <v>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</row>
    <row r="4" spans="1:15" ht="15.75" x14ac:dyDescent="0.25">
      <c r="A4" s="1" t="s">
        <v>1</v>
      </c>
      <c r="B4">
        <v>30</v>
      </c>
      <c r="C4">
        <v>40</v>
      </c>
      <c r="D4">
        <v>87</v>
      </c>
      <c r="F4">
        <v>36</v>
      </c>
      <c r="G4">
        <v>40</v>
      </c>
      <c r="I4" t="s">
        <v>9</v>
      </c>
      <c r="L4">
        <v>5</v>
      </c>
    </row>
    <row r="5" spans="1:15" ht="15.75" x14ac:dyDescent="0.25">
      <c r="A5" s="2" t="s">
        <v>2</v>
      </c>
      <c r="B5">
        <v>45</v>
      </c>
      <c r="C5">
        <v>65</v>
      </c>
      <c r="D5">
        <v>260</v>
      </c>
      <c r="F5">
        <v>127</v>
      </c>
      <c r="G5">
        <v>23</v>
      </c>
      <c r="I5" t="s">
        <v>10</v>
      </c>
      <c r="J5">
        <v>10</v>
      </c>
      <c r="K5">
        <v>51</v>
      </c>
      <c r="L5">
        <v>72</v>
      </c>
      <c r="N5">
        <v>14</v>
      </c>
      <c r="O5">
        <v>21</v>
      </c>
    </row>
    <row r="6" spans="1:15" ht="15.75" x14ac:dyDescent="0.25">
      <c r="A6" s="2" t="s">
        <v>3</v>
      </c>
      <c r="B6">
        <v>1</v>
      </c>
      <c r="C6">
        <v>2</v>
      </c>
      <c r="D6">
        <v>21</v>
      </c>
      <c r="F6">
        <v>6</v>
      </c>
      <c r="G6">
        <v>11</v>
      </c>
      <c r="I6" t="s">
        <v>11</v>
      </c>
      <c r="K6">
        <v>2</v>
      </c>
      <c r="N6">
        <v>1</v>
      </c>
      <c r="O6">
        <v>2</v>
      </c>
    </row>
    <row r="7" spans="1:15" ht="15.75" x14ac:dyDescent="0.25">
      <c r="A7" s="1" t="s">
        <v>4</v>
      </c>
      <c r="I7" t="s">
        <v>12</v>
      </c>
      <c r="L7">
        <v>1</v>
      </c>
    </row>
    <row r="8" spans="1:15" ht="15.75" x14ac:dyDescent="0.25">
      <c r="A8" s="1" t="s">
        <v>5</v>
      </c>
      <c r="D8">
        <v>5</v>
      </c>
      <c r="I8" t="s">
        <v>13</v>
      </c>
      <c r="K8">
        <v>18</v>
      </c>
    </row>
    <row r="9" spans="1:15" ht="15.75" x14ac:dyDescent="0.25">
      <c r="A9" s="1" t="s">
        <v>6</v>
      </c>
      <c r="B9">
        <v>2</v>
      </c>
      <c r="C9">
        <v>6</v>
      </c>
      <c r="D9">
        <v>22</v>
      </c>
      <c r="F9">
        <v>1</v>
      </c>
      <c r="G9">
        <v>8</v>
      </c>
      <c r="I9" t="s">
        <v>14</v>
      </c>
    </row>
    <row r="10" spans="1:15" ht="15.75" x14ac:dyDescent="0.25">
      <c r="A10" s="3" t="s">
        <v>7</v>
      </c>
      <c r="B10">
        <v>3</v>
      </c>
      <c r="C10">
        <v>8</v>
      </c>
      <c r="D10">
        <v>75</v>
      </c>
      <c r="F10">
        <v>6</v>
      </c>
      <c r="G10">
        <v>7</v>
      </c>
      <c r="I10" t="s">
        <v>15</v>
      </c>
    </row>
    <row r="11" spans="1:15" x14ac:dyDescent="0.25">
      <c r="I11" t="s">
        <v>16</v>
      </c>
      <c r="L11">
        <v>4</v>
      </c>
      <c r="N11">
        <v>2</v>
      </c>
      <c r="O11">
        <v>4</v>
      </c>
    </row>
    <row r="12" spans="1:15" x14ac:dyDescent="0.25">
      <c r="I12" t="s">
        <v>17</v>
      </c>
      <c r="K12">
        <v>6</v>
      </c>
      <c r="L12">
        <v>3</v>
      </c>
    </row>
    <row r="13" spans="1:15" x14ac:dyDescent="0.25">
      <c r="I13" t="s">
        <v>19</v>
      </c>
      <c r="J13">
        <v>7</v>
      </c>
      <c r="K13">
        <v>4</v>
      </c>
      <c r="L13">
        <v>288</v>
      </c>
      <c r="N13">
        <v>14</v>
      </c>
      <c r="O13">
        <v>6</v>
      </c>
    </row>
    <row r="14" spans="1:15" x14ac:dyDescent="0.25">
      <c r="I14" s="11">
        <v>66</v>
      </c>
      <c r="J14">
        <v>38</v>
      </c>
      <c r="K14">
        <v>35</v>
      </c>
      <c r="L14">
        <v>56</v>
      </c>
      <c r="N14">
        <v>43</v>
      </c>
      <c r="O14">
        <v>26</v>
      </c>
    </row>
  </sheetData>
  <mergeCells count="3">
    <mergeCell ref="A1:O1"/>
    <mergeCell ref="A2:G2"/>
    <mergeCell ref="I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A6" sqref="A6:G6"/>
    </sheetView>
  </sheetViews>
  <sheetFormatPr defaultRowHeight="15" x14ac:dyDescent="0.25"/>
  <cols>
    <col min="1" max="1" width="21.5703125" customWidth="1"/>
  </cols>
  <sheetData>
    <row r="1" spans="1:15" x14ac:dyDescent="0.25">
      <c r="A1" s="14">
        <f>DATE(2016,4,20)</f>
        <v>42480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75" x14ac:dyDescent="0.25">
      <c r="A2" s="15" t="s">
        <v>8</v>
      </c>
      <c r="B2" s="15"/>
      <c r="C2" s="15"/>
      <c r="D2" s="15"/>
      <c r="E2" s="15"/>
      <c r="F2" s="15"/>
      <c r="G2" s="15"/>
      <c r="I2" s="16" t="s">
        <v>18</v>
      </c>
      <c r="J2" s="16"/>
      <c r="K2" s="16"/>
      <c r="L2" s="16"/>
      <c r="M2" s="16"/>
      <c r="N2" s="16"/>
      <c r="O2" s="16"/>
    </row>
    <row r="3" spans="1:15" ht="15.75" x14ac:dyDescent="0.25">
      <c r="A3" s="4" t="s">
        <v>0</v>
      </c>
      <c r="B3">
        <v>1</v>
      </c>
      <c r="C3" s="6">
        <v>2</v>
      </c>
      <c r="D3">
        <v>3</v>
      </c>
      <c r="E3">
        <v>4</v>
      </c>
      <c r="F3">
        <v>5</v>
      </c>
      <c r="G3">
        <v>6</v>
      </c>
      <c r="I3" s="4" t="s">
        <v>0</v>
      </c>
      <c r="J3">
        <v>1</v>
      </c>
      <c r="K3" s="6">
        <v>2</v>
      </c>
      <c r="L3">
        <v>3</v>
      </c>
      <c r="M3">
        <v>4</v>
      </c>
      <c r="N3">
        <v>5</v>
      </c>
      <c r="O3">
        <v>6</v>
      </c>
    </row>
    <row r="4" spans="1:15" ht="15.75" x14ac:dyDescent="0.25">
      <c r="A4" s="1" t="s">
        <v>1</v>
      </c>
      <c r="B4">
        <v>132</v>
      </c>
      <c r="C4" s="6">
        <v>205</v>
      </c>
      <c r="D4">
        <v>108</v>
      </c>
      <c r="F4">
        <v>4</v>
      </c>
      <c r="G4">
        <v>67</v>
      </c>
      <c r="I4" t="s">
        <v>9</v>
      </c>
      <c r="K4" s="6">
        <v>9</v>
      </c>
      <c r="L4">
        <v>1</v>
      </c>
    </row>
    <row r="5" spans="1:15" ht="15.75" x14ac:dyDescent="0.25">
      <c r="A5" s="2" t="s">
        <v>2</v>
      </c>
      <c r="B5">
        <v>33</v>
      </c>
      <c r="C5" s="6">
        <v>107</v>
      </c>
      <c r="D5">
        <v>44</v>
      </c>
      <c r="F5">
        <v>14</v>
      </c>
      <c r="G5">
        <v>37</v>
      </c>
      <c r="I5" t="s">
        <v>10</v>
      </c>
      <c r="J5">
        <v>130</v>
      </c>
      <c r="K5" s="6">
        <v>108</v>
      </c>
      <c r="L5">
        <v>98</v>
      </c>
      <c r="N5">
        <v>3</v>
      </c>
      <c r="O5">
        <v>12</v>
      </c>
    </row>
    <row r="6" spans="1:15" ht="15.75" x14ac:dyDescent="0.25">
      <c r="A6" s="2" t="s">
        <v>3</v>
      </c>
      <c r="B6">
        <v>34</v>
      </c>
      <c r="C6" s="6">
        <v>18</v>
      </c>
      <c r="D6">
        <v>21</v>
      </c>
      <c r="F6">
        <v>3</v>
      </c>
      <c r="G6">
        <v>4</v>
      </c>
      <c r="I6" t="s">
        <v>11</v>
      </c>
      <c r="J6">
        <v>3</v>
      </c>
      <c r="K6" s="6">
        <v>20</v>
      </c>
      <c r="L6">
        <v>3</v>
      </c>
    </row>
    <row r="7" spans="1:15" ht="15.75" x14ac:dyDescent="0.25">
      <c r="A7" s="1" t="s">
        <v>4</v>
      </c>
      <c r="C7" s="6">
        <v>4</v>
      </c>
      <c r="G7">
        <v>1</v>
      </c>
      <c r="I7" t="s">
        <v>12</v>
      </c>
      <c r="K7" s="6">
        <v>8</v>
      </c>
    </row>
    <row r="8" spans="1:15" ht="15.75" x14ac:dyDescent="0.25">
      <c r="A8" s="1" t="s">
        <v>5</v>
      </c>
      <c r="B8">
        <v>20</v>
      </c>
      <c r="C8" s="6">
        <v>16</v>
      </c>
      <c r="G8">
        <v>6</v>
      </c>
      <c r="I8" t="s">
        <v>13</v>
      </c>
      <c r="J8">
        <v>9</v>
      </c>
      <c r="K8" s="6"/>
    </row>
    <row r="9" spans="1:15" ht="15.75" x14ac:dyDescent="0.25">
      <c r="A9" s="1" t="s">
        <v>6</v>
      </c>
      <c r="B9">
        <v>28</v>
      </c>
      <c r="C9" s="6">
        <v>28</v>
      </c>
      <c r="D9">
        <v>5</v>
      </c>
      <c r="F9">
        <v>4</v>
      </c>
      <c r="G9">
        <v>11</v>
      </c>
      <c r="I9" t="s">
        <v>14</v>
      </c>
      <c r="K9" s="6"/>
      <c r="L9">
        <v>2</v>
      </c>
    </row>
    <row r="10" spans="1:15" ht="15.75" x14ac:dyDescent="0.25">
      <c r="A10" s="3" t="s">
        <v>7</v>
      </c>
      <c r="B10">
        <v>56</v>
      </c>
      <c r="C10" s="6">
        <v>81</v>
      </c>
      <c r="D10">
        <v>27</v>
      </c>
      <c r="F10">
        <v>8</v>
      </c>
      <c r="G10">
        <v>29</v>
      </c>
      <c r="I10" t="s">
        <v>15</v>
      </c>
      <c r="K10" s="6"/>
    </row>
    <row r="11" spans="1:15" x14ac:dyDescent="0.25">
      <c r="C11" s="6"/>
      <c r="I11" t="s">
        <v>16</v>
      </c>
      <c r="J11">
        <v>1</v>
      </c>
      <c r="K11" s="6">
        <v>3</v>
      </c>
      <c r="L11">
        <v>2</v>
      </c>
      <c r="N11">
        <v>2</v>
      </c>
      <c r="O11">
        <v>3</v>
      </c>
    </row>
    <row r="12" spans="1:15" x14ac:dyDescent="0.25">
      <c r="I12" t="s">
        <v>17</v>
      </c>
      <c r="K12" s="6">
        <v>125</v>
      </c>
    </row>
    <row r="13" spans="1:15" x14ac:dyDescent="0.25">
      <c r="I13" t="s">
        <v>32</v>
      </c>
      <c r="J13">
        <v>16</v>
      </c>
      <c r="K13" s="6">
        <v>58</v>
      </c>
      <c r="L13">
        <v>79</v>
      </c>
      <c r="N13">
        <v>4</v>
      </c>
      <c r="O13">
        <v>12</v>
      </c>
    </row>
    <row r="14" spans="1:15" x14ac:dyDescent="0.25">
      <c r="I14">
        <v>66</v>
      </c>
      <c r="J14">
        <v>44</v>
      </c>
      <c r="K14" s="6">
        <v>61</v>
      </c>
      <c r="L14">
        <v>20</v>
      </c>
      <c r="N14">
        <v>17</v>
      </c>
      <c r="O14">
        <v>61</v>
      </c>
    </row>
  </sheetData>
  <mergeCells count="3">
    <mergeCell ref="A1:O1"/>
    <mergeCell ref="A2:G2"/>
    <mergeCell ref="I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4th</vt:lpstr>
      <vt:lpstr>Sheet3</vt:lpstr>
      <vt:lpstr>5th</vt:lpstr>
      <vt:lpstr>6th</vt:lpstr>
      <vt:lpstr>7th</vt:lpstr>
      <vt:lpstr>8th</vt:lpstr>
      <vt:lpstr>12</vt:lpstr>
      <vt:lpstr>13</vt:lpstr>
      <vt:lpstr>14</vt:lpstr>
      <vt:lpstr>15</vt:lpstr>
      <vt:lpstr>18</vt:lpstr>
      <vt:lpstr>19th</vt:lpstr>
      <vt:lpstr>20th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Filza</dc:creator>
  <cp:lastModifiedBy>Filza</cp:lastModifiedBy>
  <dcterms:created xsi:type="dcterms:W3CDTF">2017-01-27T06:18:55Z</dcterms:created>
  <dcterms:modified xsi:type="dcterms:W3CDTF">2017-03-15T09:49:25Z</dcterms:modified>
</cp:coreProperties>
</file>